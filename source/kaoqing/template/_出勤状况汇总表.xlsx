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hexo\source\kaoqing\template\"/>
    </mc:Choice>
  </mc:AlternateContent>
  <xr:revisionPtr revIDLastSave="0" documentId="13_ncr:1_{F65EF04D-E5F7-4C11-846F-256EA400E6B4}" xr6:coauthVersionLast="47" xr6:coauthVersionMax="47" xr10:uidLastSave="{00000000-0000-0000-0000-000000000000}"/>
  <bookViews>
    <workbookView xWindow="-120" yWindow="-120" windowWidth="29040" windowHeight="15840" firstSheet="2" activeTab="11" xr2:uid="{00000000-000D-0000-FFFF-FFFF00000000}"/>
  </bookViews>
  <sheets>
    <sheet name="2026-01" sheetId="54" r:id="rId1"/>
    <sheet name="2026-02" sheetId="55" r:id="rId2"/>
    <sheet name="2026-03" sheetId="56" r:id="rId3"/>
    <sheet name="2026-04" sheetId="57" r:id="rId4"/>
    <sheet name="2026-05" sheetId="58" r:id="rId5"/>
    <sheet name="2026-06" sheetId="59" r:id="rId6"/>
    <sheet name="2026-07" sheetId="60" r:id="rId7"/>
    <sheet name="2026-08" sheetId="61" r:id="rId8"/>
    <sheet name="2026-09" sheetId="62" r:id="rId9"/>
    <sheet name="2026-10" sheetId="63" r:id="rId10"/>
    <sheet name="2026-11" sheetId="64" r:id="rId11"/>
    <sheet name="2026-12" sheetId="6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29" i="65" l="1"/>
  <c r="AM29" i="65"/>
  <c r="AL29" i="65"/>
  <c r="AK29" i="65"/>
  <c r="AJ29" i="65"/>
  <c r="AM30" i="65" s="1"/>
  <c r="AI29" i="65"/>
  <c r="AH29" i="65" a="1"/>
  <c r="AH29" i="65" s="1"/>
  <c r="AM28" i="65"/>
  <c r="AO27" i="65"/>
  <c r="AM27" i="65"/>
  <c r="AL27" i="65"/>
  <c r="AK27" i="65"/>
  <c r="AJ27" i="65"/>
  <c r="AN27" i="65" s="1"/>
  <c r="AI27" i="65"/>
  <c r="AH27" i="65" a="1"/>
  <c r="AH27" i="65"/>
  <c r="AO25" i="65"/>
  <c r="AN25" i="65"/>
  <c r="AM25" i="65"/>
  <c r="AL25" i="65"/>
  <c r="AK25" i="65"/>
  <c r="AJ25" i="65"/>
  <c r="AM26" i="65" s="1"/>
  <c r="AI25" i="65"/>
  <c r="AH25" i="65" a="1"/>
  <c r="AH25" i="65" s="1"/>
  <c r="AM24" i="65"/>
  <c r="AO23" i="65"/>
  <c r="AN23" i="65"/>
  <c r="AM23" i="65"/>
  <c r="AL23" i="65"/>
  <c r="AK23" i="65"/>
  <c r="AJ23" i="65"/>
  <c r="AI23" i="65"/>
  <c r="AH23" i="65" a="1"/>
  <c r="AH23" i="65"/>
  <c r="AO21" i="65"/>
  <c r="AN21" i="65"/>
  <c r="AM21" i="65"/>
  <c r="AL21" i="65"/>
  <c r="AK21" i="65"/>
  <c r="AJ21" i="65"/>
  <c r="AM22" i="65" s="1"/>
  <c r="AI21" i="65"/>
  <c r="AH21" i="65" a="1"/>
  <c r="AH21" i="65" s="1"/>
  <c r="AM20" i="65"/>
  <c r="AO19" i="65"/>
  <c r="AN19" i="65"/>
  <c r="AM19" i="65"/>
  <c r="AL19" i="65"/>
  <c r="AK19" i="65"/>
  <c r="AJ19" i="65"/>
  <c r="AI19" i="65"/>
  <c r="AH19" i="65" a="1"/>
  <c r="AH19" i="65"/>
  <c r="AO17" i="65"/>
  <c r="AN17" i="65"/>
  <c r="AM17" i="65"/>
  <c r="AL17" i="65"/>
  <c r="AK17" i="65"/>
  <c r="AJ17" i="65"/>
  <c r="AM18" i="65" s="1"/>
  <c r="AI17" i="65"/>
  <c r="AH17" i="65" a="1"/>
  <c r="AH17" i="65" s="1"/>
  <c r="AM16" i="65"/>
  <c r="AO15" i="65"/>
  <c r="AN15" i="65"/>
  <c r="AM15" i="65"/>
  <c r="AL15" i="65"/>
  <c r="AK15" i="65"/>
  <c r="AJ15" i="65"/>
  <c r="AI15" i="65"/>
  <c r="AH15" i="65" a="1"/>
  <c r="AH15" i="65"/>
  <c r="AO13" i="65"/>
  <c r="AN13" i="65"/>
  <c r="AM13" i="65"/>
  <c r="AL13" i="65"/>
  <c r="AK13" i="65"/>
  <c r="AJ13" i="65"/>
  <c r="AM14" i="65" s="1"/>
  <c r="AI13" i="65"/>
  <c r="AH13" i="65" a="1"/>
  <c r="AH13" i="65" s="1"/>
  <c r="AM12" i="65"/>
  <c r="AO11" i="65"/>
  <c r="AN11" i="65"/>
  <c r="AM11" i="65"/>
  <c r="AL11" i="65"/>
  <c r="AK11" i="65"/>
  <c r="AJ11" i="65"/>
  <c r="AI11" i="65"/>
  <c r="AH11" i="65" a="1"/>
  <c r="AH11" i="65"/>
  <c r="AO9" i="65"/>
  <c r="AN9" i="65"/>
  <c r="AM9" i="65"/>
  <c r="AL9" i="65"/>
  <c r="AK9" i="65"/>
  <c r="AJ9" i="65"/>
  <c r="AM10" i="65" s="1"/>
  <c r="AI9" i="65"/>
  <c r="AH9" i="65" a="1"/>
  <c r="AH9" i="65" s="1"/>
  <c r="AM8" i="65"/>
  <c r="AO7" i="65"/>
  <c r="AN7" i="65"/>
  <c r="AM7" i="65"/>
  <c r="AL7" i="65"/>
  <c r="AK7" i="65"/>
  <c r="AJ7" i="65"/>
  <c r="AI7" i="65"/>
  <c r="AH7" i="65" a="1"/>
  <c r="AH7" i="65"/>
  <c r="AO5" i="65"/>
  <c r="AN5" i="65"/>
  <c r="AM5" i="65"/>
  <c r="AL5" i="65"/>
  <c r="AK5" i="65"/>
  <c r="AJ5" i="65"/>
  <c r="AM6" i="65" s="1"/>
  <c r="AI5" i="65"/>
  <c r="AH5" i="65" a="1"/>
  <c r="AH5" i="65" s="1"/>
  <c r="C2" i="65"/>
  <c r="AO29" i="64"/>
  <c r="AM29" i="64"/>
  <c r="AL29" i="64"/>
  <c r="AK29" i="64"/>
  <c r="AJ29" i="64"/>
  <c r="AM30" i="64" s="1"/>
  <c r="AI29" i="64"/>
  <c r="AH29" i="64" a="1"/>
  <c r="AH29" i="64" s="1"/>
  <c r="AM28" i="64"/>
  <c r="AO27" i="64"/>
  <c r="AM27" i="64"/>
  <c r="AL27" i="64"/>
  <c r="AK27" i="64"/>
  <c r="AJ27" i="64"/>
  <c r="AN27" i="64" s="1"/>
  <c r="AI27" i="64"/>
  <c r="AH27" i="64" a="1"/>
  <c r="AH27" i="64"/>
  <c r="AO25" i="64"/>
  <c r="AN25" i="64"/>
  <c r="AM25" i="64"/>
  <c r="AL25" i="64"/>
  <c r="AK25" i="64"/>
  <c r="AJ25" i="64"/>
  <c r="AM26" i="64" s="1"/>
  <c r="AI25" i="64"/>
  <c r="AH25" i="64" a="1"/>
  <c r="AH25" i="64" s="1"/>
  <c r="AM24" i="64"/>
  <c r="AO23" i="64"/>
  <c r="AN23" i="64"/>
  <c r="AM23" i="64"/>
  <c r="AL23" i="64"/>
  <c r="AK23" i="64"/>
  <c r="AJ23" i="64"/>
  <c r="AI23" i="64"/>
  <c r="AH23" i="64" a="1"/>
  <c r="AH23" i="64"/>
  <c r="AO21" i="64"/>
  <c r="AN21" i="64"/>
  <c r="AM21" i="64"/>
  <c r="AL21" i="64"/>
  <c r="AK21" i="64"/>
  <c r="AJ21" i="64"/>
  <c r="AM22" i="64" s="1"/>
  <c r="AI21" i="64"/>
  <c r="AH21" i="64" a="1"/>
  <c r="AH21" i="64" s="1"/>
  <c r="AM20" i="64"/>
  <c r="AO19" i="64"/>
  <c r="AN19" i="64"/>
  <c r="AM19" i="64"/>
  <c r="AL19" i="64"/>
  <c r="AK19" i="64"/>
  <c r="AJ19" i="64"/>
  <c r="AI19" i="64"/>
  <c r="AH19" i="64" a="1"/>
  <c r="AH19" i="64"/>
  <c r="AO17" i="64"/>
  <c r="AN17" i="64"/>
  <c r="AM17" i="64"/>
  <c r="AL17" i="64"/>
  <c r="AK17" i="64"/>
  <c r="AJ17" i="64"/>
  <c r="AM18" i="64" s="1"/>
  <c r="AI17" i="64"/>
  <c r="AH17" i="64" a="1"/>
  <c r="AH17" i="64" s="1"/>
  <c r="AM16" i="64"/>
  <c r="AO15" i="64"/>
  <c r="AN15" i="64"/>
  <c r="AM15" i="64"/>
  <c r="AL15" i="64"/>
  <c r="AK15" i="64"/>
  <c r="AJ15" i="64"/>
  <c r="AI15" i="64"/>
  <c r="AH15" i="64" a="1"/>
  <c r="AH15" i="64"/>
  <c r="AO13" i="64"/>
  <c r="AN13" i="64"/>
  <c r="AM13" i="64"/>
  <c r="AL13" i="64"/>
  <c r="AK13" i="64"/>
  <c r="AJ13" i="64"/>
  <c r="AM14" i="64" s="1"/>
  <c r="AI13" i="64"/>
  <c r="AH13" i="64" a="1"/>
  <c r="AH13" i="64" s="1"/>
  <c r="AM12" i="64"/>
  <c r="AO11" i="64"/>
  <c r="AN11" i="64"/>
  <c r="AM11" i="64"/>
  <c r="AL11" i="64"/>
  <c r="AK11" i="64"/>
  <c r="AJ11" i="64"/>
  <c r="AI11" i="64"/>
  <c r="AH11" i="64" a="1"/>
  <c r="AH11" i="64"/>
  <c r="AO9" i="64"/>
  <c r="AN9" i="64"/>
  <c r="AM9" i="64"/>
  <c r="AL9" i="64"/>
  <c r="AK9" i="64"/>
  <c r="AJ9" i="64"/>
  <c r="AM10" i="64" s="1"/>
  <c r="AI9" i="64"/>
  <c r="AH9" i="64" a="1"/>
  <c r="AH9" i="64" s="1"/>
  <c r="AM8" i="64"/>
  <c r="AO7" i="64"/>
  <c r="AN7" i="64"/>
  <c r="AM7" i="64"/>
  <c r="AL7" i="64"/>
  <c r="AK7" i="64"/>
  <c r="AJ7" i="64"/>
  <c r="AI7" i="64"/>
  <c r="AH7" i="64" a="1"/>
  <c r="AH7" i="64"/>
  <c r="AO5" i="64"/>
  <c r="AN5" i="64"/>
  <c r="AM5" i="64"/>
  <c r="AL5" i="64"/>
  <c r="AK5" i="64"/>
  <c r="AJ5" i="64"/>
  <c r="AM6" i="64" s="1"/>
  <c r="AI5" i="64"/>
  <c r="AH5" i="64" a="1"/>
  <c r="AH5" i="64" s="1"/>
  <c r="C2" i="64"/>
  <c r="AO29" i="62"/>
  <c r="AM29" i="62"/>
  <c r="AL29" i="62"/>
  <c r="AK29" i="62"/>
  <c r="AJ29" i="62"/>
  <c r="AM30" i="62" s="1"/>
  <c r="AI29" i="62"/>
  <c r="AH29" i="62" a="1"/>
  <c r="AH29" i="62" s="1"/>
  <c r="AM28" i="62"/>
  <c r="AO27" i="62"/>
  <c r="AM27" i="62"/>
  <c r="AL27" i="62"/>
  <c r="AK27" i="62"/>
  <c r="AJ27" i="62"/>
  <c r="AN27" i="62" s="1"/>
  <c r="AI27" i="62"/>
  <c r="AH27" i="62" a="1"/>
  <c r="AH27" i="62"/>
  <c r="AO25" i="62"/>
  <c r="AN25" i="62"/>
  <c r="AM25" i="62"/>
  <c r="AL25" i="62"/>
  <c r="AK25" i="62"/>
  <c r="AJ25" i="62"/>
  <c r="AM26" i="62" s="1"/>
  <c r="AI25" i="62"/>
  <c r="AH25" i="62" a="1"/>
  <c r="AH25" i="62" s="1"/>
  <c r="AM24" i="62"/>
  <c r="AO23" i="62"/>
  <c r="AN23" i="62"/>
  <c r="AM23" i="62"/>
  <c r="AL23" i="62"/>
  <c r="AK23" i="62"/>
  <c r="AJ23" i="62"/>
  <c r="AI23" i="62"/>
  <c r="AH23" i="62" a="1"/>
  <c r="AH23" i="62"/>
  <c r="AO21" i="62"/>
  <c r="AN21" i="62"/>
  <c r="AM21" i="62"/>
  <c r="AL21" i="62"/>
  <c r="AK21" i="62"/>
  <c r="AJ21" i="62"/>
  <c r="AM22" i="62" s="1"/>
  <c r="AI21" i="62"/>
  <c r="AH21" i="62" a="1"/>
  <c r="AH21" i="62" s="1"/>
  <c r="AM20" i="62"/>
  <c r="AO19" i="62"/>
  <c r="AN19" i="62"/>
  <c r="AM19" i="62"/>
  <c r="AL19" i="62"/>
  <c r="AK19" i="62"/>
  <c r="AJ19" i="62"/>
  <c r="AI19" i="62"/>
  <c r="AH19" i="62" a="1"/>
  <c r="AH19" i="62"/>
  <c r="AO17" i="62"/>
  <c r="AN17" i="62"/>
  <c r="AM17" i="62"/>
  <c r="AL17" i="62"/>
  <c r="AK17" i="62"/>
  <c r="AJ17" i="62"/>
  <c r="AM18" i="62" s="1"/>
  <c r="AI17" i="62"/>
  <c r="AH17" i="62" a="1"/>
  <c r="AH17" i="62" s="1"/>
  <c r="AM16" i="62"/>
  <c r="AO15" i="62"/>
  <c r="AN15" i="62"/>
  <c r="AM15" i="62"/>
  <c r="AL15" i="62"/>
  <c r="AK15" i="62"/>
  <c r="AJ15" i="62"/>
  <c r="AI15" i="62"/>
  <c r="AH15" i="62" a="1"/>
  <c r="AH15" i="62"/>
  <c r="AO13" i="62"/>
  <c r="AN13" i="62"/>
  <c r="AM13" i="62"/>
  <c r="AL13" i="62"/>
  <c r="AK13" i="62"/>
  <c r="AJ13" i="62"/>
  <c r="AM14" i="62" s="1"/>
  <c r="AI13" i="62"/>
  <c r="AH13" i="62" a="1"/>
  <c r="AH13" i="62" s="1"/>
  <c r="AM12" i="62"/>
  <c r="AO11" i="62"/>
  <c r="AN11" i="62"/>
  <c r="AM11" i="62"/>
  <c r="AL11" i="62"/>
  <c r="AK11" i="62"/>
  <c r="AJ11" i="62"/>
  <c r="AI11" i="62"/>
  <c r="AH11" i="62" a="1"/>
  <c r="AH11" i="62"/>
  <c r="AO9" i="62"/>
  <c r="AN9" i="62"/>
  <c r="AM9" i="62"/>
  <c r="AL9" i="62"/>
  <c r="AK9" i="62"/>
  <c r="AJ9" i="62"/>
  <c r="AM10" i="62" s="1"/>
  <c r="AI9" i="62"/>
  <c r="AH9" i="62" a="1"/>
  <c r="AH9" i="62" s="1"/>
  <c r="AM8" i="62"/>
  <c r="AO7" i="62"/>
  <c r="AN7" i="62"/>
  <c r="AM7" i="62"/>
  <c r="AL7" i="62"/>
  <c r="AK7" i="62"/>
  <c r="AJ7" i="62"/>
  <c r="AI7" i="62"/>
  <c r="AH7" i="62" a="1"/>
  <c r="AH7" i="62"/>
  <c r="AO5" i="62"/>
  <c r="AN5" i="62"/>
  <c r="AM5" i="62"/>
  <c r="AL5" i="62"/>
  <c r="AK5" i="62"/>
  <c r="AJ5" i="62"/>
  <c r="AM6" i="62" s="1"/>
  <c r="AI5" i="62"/>
  <c r="AH5" i="62" a="1"/>
  <c r="AH5" i="62" s="1"/>
  <c r="C2" i="62"/>
  <c r="AO29" i="61"/>
  <c r="AM29" i="61"/>
  <c r="AL29" i="61"/>
  <c r="AK29" i="61"/>
  <c r="AJ29" i="61"/>
  <c r="AM30" i="61" s="1"/>
  <c r="AI29" i="61"/>
  <c r="AH29" i="61" a="1"/>
  <c r="AH29" i="61" s="1"/>
  <c r="AM28" i="61"/>
  <c r="AO27" i="61"/>
  <c r="AM27" i="61"/>
  <c r="AL27" i="61"/>
  <c r="AK27" i="61"/>
  <c r="AJ27" i="61"/>
  <c r="AN27" i="61" s="1"/>
  <c r="AI27" i="61"/>
  <c r="AH27" i="61" a="1"/>
  <c r="AH27" i="61"/>
  <c r="AO25" i="61"/>
  <c r="AN25" i="61"/>
  <c r="AM25" i="61"/>
  <c r="AL25" i="61"/>
  <c r="AK25" i="61"/>
  <c r="AJ25" i="61"/>
  <c r="AM26" i="61" s="1"/>
  <c r="AI25" i="61"/>
  <c r="AH25" i="61" a="1"/>
  <c r="AH25" i="61" s="1"/>
  <c r="AM24" i="61"/>
  <c r="AO23" i="61"/>
  <c r="AN23" i="61"/>
  <c r="AM23" i="61"/>
  <c r="AL23" i="61"/>
  <c r="AK23" i="61"/>
  <c r="AJ23" i="61"/>
  <c r="AI23" i="61"/>
  <c r="AH23" i="61" a="1"/>
  <c r="AH23" i="61"/>
  <c r="AO21" i="61"/>
  <c r="AN21" i="61"/>
  <c r="AM21" i="61"/>
  <c r="AL21" i="61"/>
  <c r="AK21" i="61"/>
  <c r="AJ21" i="61"/>
  <c r="AM22" i="61" s="1"/>
  <c r="AI21" i="61"/>
  <c r="AH21" i="61" a="1"/>
  <c r="AH21" i="61" s="1"/>
  <c r="AM20" i="61"/>
  <c r="AO19" i="61"/>
  <c r="AN19" i="61"/>
  <c r="AM19" i="61"/>
  <c r="AL19" i="61"/>
  <c r="AK19" i="61"/>
  <c r="AJ19" i="61"/>
  <c r="AI19" i="61"/>
  <c r="AH19" i="61" a="1"/>
  <c r="AH19" i="61"/>
  <c r="AO17" i="61"/>
  <c r="AN17" i="61"/>
  <c r="AM17" i="61"/>
  <c r="AL17" i="61"/>
  <c r="AK17" i="61"/>
  <c r="AJ17" i="61"/>
  <c r="AM18" i="61" s="1"/>
  <c r="AI17" i="61"/>
  <c r="AH17" i="61" a="1"/>
  <c r="AH17" i="61" s="1"/>
  <c r="AM16" i="61"/>
  <c r="AO15" i="61"/>
  <c r="AN15" i="61"/>
  <c r="AM15" i="61"/>
  <c r="AL15" i="61"/>
  <c r="AK15" i="61"/>
  <c r="AJ15" i="61"/>
  <c r="AI15" i="61"/>
  <c r="AH15" i="61" a="1"/>
  <c r="AH15" i="61"/>
  <c r="AO13" i="61"/>
  <c r="AN13" i="61"/>
  <c r="AM13" i="61"/>
  <c r="AL13" i="61"/>
  <c r="AK13" i="61"/>
  <c r="AJ13" i="61"/>
  <c r="AM14" i="61" s="1"/>
  <c r="AI13" i="61"/>
  <c r="AH13" i="61" a="1"/>
  <c r="AH13" i="61" s="1"/>
  <c r="AM12" i="61"/>
  <c r="AO11" i="61"/>
  <c r="AN11" i="61"/>
  <c r="AM11" i="61"/>
  <c r="AL11" i="61"/>
  <c r="AK11" i="61"/>
  <c r="AJ11" i="61"/>
  <c r="AI11" i="61"/>
  <c r="AH11" i="61" a="1"/>
  <c r="AH11" i="61"/>
  <c r="AO9" i="61"/>
  <c r="AN9" i="61"/>
  <c r="AM9" i="61"/>
  <c r="AL9" i="61"/>
  <c r="AK9" i="61"/>
  <c r="AJ9" i="61"/>
  <c r="AM10" i="61" s="1"/>
  <c r="AI9" i="61"/>
  <c r="AH9" i="61" a="1"/>
  <c r="AH9" i="61" s="1"/>
  <c r="AM8" i="61"/>
  <c r="AO7" i="61"/>
  <c r="AN7" i="61"/>
  <c r="AM7" i="61"/>
  <c r="AL7" i="61"/>
  <c r="AK7" i="61"/>
  <c r="AJ7" i="61"/>
  <c r="AI7" i="61"/>
  <c r="AH7" i="61" a="1"/>
  <c r="AH7" i="61"/>
  <c r="AO5" i="61"/>
  <c r="AN5" i="61"/>
  <c r="AM5" i="61"/>
  <c r="AL5" i="61"/>
  <c r="AK5" i="61"/>
  <c r="AJ5" i="61"/>
  <c r="AM6" i="61" s="1"/>
  <c r="AI5" i="61"/>
  <c r="AH5" i="61" a="1"/>
  <c r="AH5" i="61" s="1"/>
  <c r="C2" i="61"/>
  <c r="AP29" i="60"/>
  <c r="AP29" i="61" s="1"/>
  <c r="AP29" i="62" s="1"/>
  <c r="AO29" i="60"/>
  <c r="AM29" i="60"/>
  <c r="AL29" i="60"/>
  <c r="AK29" i="60"/>
  <c r="AJ29" i="60"/>
  <c r="AM30" i="60" s="1"/>
  <c r="AI29" i="60"/>
  <c r="AH29" i="60" a="1"/>
  <c r="AH29" i="60" s="1"/>
  <c r="AM28" i="60"/>
  <c r="AO27" i="60"/>
  <c r="AM27" i="60"/>
  <c r="AL27" i="60"/>
  <c r="AK27" i="60"/>
  <c r="AJ27" i="60"/>
  <c r="AN27" i="60" s="1"/>
  <c r="AI27" i="60"/>
  <c r="AH27" i="60" a="1"/>
  <c r="AH27" i="60"/>
  <c r="AO25" i="60"/>
  <c r="AN25" i="60"/>
  <c r="AM25" i="60"/>
  <c r="AL25" i="60"/>
  <c r="AK25" i="60"/>
  <c r="AJ25" i="60"/>
  <c r="AM26" i="60" s="1"/>
  <c r="AI25" i="60"/>
  <c r="AH25" i="60" a="1"/>
  <c r="AH25" i="60" s="1"/>
  <c r="AM24" i="60"/>
  <c r="AO23" i="60"/>
  <c r="AN23" i="60"/>
  <c r="AM23" i="60"/>
  <c r="AL23" i="60"/>
  <c r="AK23" i="60"/>
  <c r="AJ23" i="60"/>
  <c r="AI23" i="60"/>
  <c r="AH23" i="60" a="1"/>
  <c r="AH23" i="60"/>
  <c r="AO21" i="60"/>
  <c r="AN21" i="60"/>
  <c r="AM21" i="60"/>
  <c r="AL21" i="60"/>
  <c r="AK21" i="60"/>
  <c r="AJ21" i="60"/>
  <c r="AM22" i="60" s="1"/>
  <c r="AI21" i="60"/>
  <c r="AH21" i="60" a="1"/>
  <c r="AH21" i="60" s="1"/>
  <c r="AM20" i="60"/>
  <c r="AO19" i="60"/>
  <c r="AN19" i="60"/>
  <c r="AM19" i="60"/>
  <c r="AL19" i="60"/>
  <c r="AK19" i="60"/>
  <c r="AJ19" i="60"/>
  <c r="AI19" i="60"/>
  <c r="AH19" i="60" a="1"/>
  <c r="AH19" i="60"/>
  <c r="AO17" i="60"/>
  <c r="AN17" i="60"/>
  <c r="AM17" i="60"/>
  <c r="AL17" i="60"/>
  <c r="AK17" i="60"/>
  <c r="AJ17" i="60"/>
  <c r="AM18" i="60" s="1"/>
  <c r="AI17" i="60"/>
  <c r="AH17" i="60" a="1"/>
  <c r="AH17" i="60" s="1"/>
  <c r="AM16" i="60"/>
  <c r="AO15" i="60"/>
  <c r="AN15" i="60"/>
  <c r="AM15" i="60"/>
  <c r="AL15" i="60"/>
  <c r="AK15" i="60"/>
  <c r="AJ15" i="60"/>
  <c r="AI15" i="60"/>
  <c r="AH15" i="60" a="1"/>
  <c r="AH15" i="60"/>
  <c r="AO13" i="60"/>
  <c r="AN13" i="60"/>
  <c r="AM13" i="60"/>
  <c r="AL13" i="60"/>
  <c r="AK13" i="60"/>
  <c r="AJ13" i="60"/>
  <c r="AM14" i="60" s="1"/>
  <c r="AI13" i="60"/>
  <c r="AH13" i="60" a="1"/>
  <c r="AH13" i="60" s="1"/>
  <c r="AM12" i="60"/>
  <c r="AO11" i="60"/>
  <c r="AN11" i="60"/>
  <c r="AM11" i="60"/>
  <c r="AL11" i="60"/>
  <c r="AK11" i="60"/>
  <c r="AJ11" i="60"/>
  <c r="AI11" i="60"/>
  <c r="AH11" i="60" a="1"/>
  <c r="AH11" i="60"/>
  <c r="AO9" i="60"/>
  <c r="AN9" i="60"/>
  <c r="AM9" i="60"/>
  <c r="AL9" i="60"/>
  <c r="AK9" i="60"/>
  <c r="AJ9" i="60"/>
  <c r="AM10" i="60" s="1"/>
  <c r="AI9" i="60"/>
  <c r="AH9" i="60" a="1"/>
  <c r="AH9" i="60" s="1"/>
  <c r="AM8" i="60"/>
  <c r="AO7" i="60"/>
  <c r="AN7" i="60"/>
  <c r="AM7" i="60"/>
  <c r="AL7" i="60"/>
  <c r="AK7" i="60"/>
  <c r="AJ7" i="60"/>
  <c r="AI7" i="60"/>
  <c r="AH7" i="60" a="1"/>
  <c r="AH7" i="60"/>
  <c r="AO5" i="60"/>
  <c r="AN5" i="60"/>
  <c r="AM5" i="60"/>
  <c r="AL5" i="60"/>
  <c r="AK5" i="60"/>
  <c r="AJ5" i="60"/>
  <c r="AM6" i="60" s="1"/>
  <c r="AI5" i="60"/>
  <c r="AH5" i="60" a="1"/>
  <c r="AH5" i="60" s="1"/>
  <c r="AL28" i="59"/>
  <c r="AN27" i="59"/>
  <c r="AL27" i="59"/>
  <c r="AK27" i="59"/>
  <c r="AJ27" i="59"/>
  <c r="AI27" i="59"/>
  <c r="AM27" i="59" s="1"/>
  <c r="AH27" i="59"/>
  <c r="AN25" i="59"/>
  <c r="AM25" i="59"/>
  <c r="AL25" i="59"/>
  <c r="AK25" i="59"/>
  <c r="AJ25" i="59"/>
  <c r="AI25" i="59"/>
  <c r="AL26" i="59" s="1"/>
  <c r="AH25" i="59"/>
  <c r="AL24" i="59"/>
  <c r="AN23" i="59"/>
  <c r="AM23" i="59"/>
  <c r="AL23" i="59"/>
  <c r="AK23" i="59"/>
  <c r="AJ23" i="59"/>
  <c r="AI23" i="59"/>
  <c r="AH23" i="59"/>
  <c r="AN21" i="59"/>
  <c r="AM21" i="59"/>
  <c r="AL21" i="59"/>
  <c r="AK21" i="59"/>
  <c r="AJ21" i="59"/>
  <c r="AI21" i="59"/>
  <c r="AL22" i="59" s="1"/>
  <c r="AH21" i="59"/>
  <c r="AL20" i="59"/>
  <c r="AN19" i="59"/>
  <c r="AM19" i="59"/>
  <c r="AL19" i="59"/>
  <c r="AK19" i="59"/>
  <c r="AJ19" i="59"/>
  <c r="AI19" i="59"/>
  <c r="AH19" i="59"/>
  <c r="AN17" i="59"/>
  <c r="AM17" i="59"/>
  <c r="AL17" i="59"/>
  <c r="AK17" i="59"/>
  <c r="AJ17" i="59"/>
  <c r="AI17" i="59"/>
  <c r="AL18" i="59" s="1"/>
  <c r="AH17" i="59"/>
  <c r="AL16" i="59"/>
  <c r="AN15" i="59"/>
  <c r="AM15" i="59"/>
  <c r="AL15" i="59"/>
  <c r="AK15" i="59"/>
  <c r="AJ15" i="59"/>
  <c r="AI15" i="59"/>
  <c r="AH15" i="59"/>
  <c r="AN13" i="59"/>
  <c r="AM13" i="59"/>
  <c r="AL13" i="59"/>
  <c r="AK13" i="59"/>
  <c r="AJ13" i="59"/>
  <c r="AI13" i="59"/>
  <c r="AL14" i="59" s="1"/>
  <c r="AH13" i="59"/>
  <c r="AL12" i="59"/>
  <c r="AN11" i="59"/>
  <c r="AM11" i="59"/>
  <c r="AL11" i="59"/>
  <c r="AK11" i="59"/>
  <c r="AJ11" i="59"/>
  <c r="AI11" i="59"/>
  <c r="AH11" i="59"/>
  <c r="AN9" i="59"/>
  <c r="AM9" i="59"/>
  <c r="AL9" i="59"/>
  <c r="AK9" i="59"/>
  <c r="AJ9" i="59"/>
  <c r="AI9" i="59"/>
  <c r="AL10" i="59" s="1"/>
  <c r="AH9" i="59"/>
  <c r="AL8" i="59"/>
  <c r="AN7" i="59"/>
  <c r="AM7" i="59"/>
  <c r="AL7" i="59"/>
  <c r="AK7" i="59"/>
  <c r="AJ7" i="59"/>
  <c r="AI7" i="59"/>
  <c r="AH7" i="59"/>
  <c r="AN5" i="59"/>
  <c r="AM5" i="59"/>
  <c r="AL5" i="59"/>
  <c r="AK5" i="59"/>
  <c r="AJ5" i="59"/>
  <c r="AI5" i="59"/>
  <c r="AL6" i="59" s="1"/>
  <c r="AH5" i="59"/>
  <c r="AL28" i="58"/>
  <c r="AN27" i="58"/>
  <c r="AL27" i="58"/>
  <c r="AK27" i="58"/>
  <c r="AJ27" i="58"/>
  <c r="AI27" i="58"/>
  <c r="AM27" i="58" s="1"/>
  <c r="AH27" i="58"/>
  <c r="AN25" i="58"/>
  <c r="AM25" i="58"/>
  <c r="AL25" i="58"/>
  <c r="AK25" i="58"/>
  <c r="AJ25" i="58"/>
  <c r="AI25" i="58"/>
  <c r="AL26" i="58" s="1"/>
  <c r="AH25" i="58"/>
  <c r="AL24" i="58"/>
  <c r="AN23" i="58"/>
  <c r="AM23" i="58"/>
  <c r="AL23" i="58"/>
  <c r="AK23" i="58"/>
  <c r="AJ23" i="58"/>
  <c r="AI23" i="58"/>
  <c r="AH23" i="58"/>
  <c r="AN21" i="58"/>
  <c r="AM21" i="58"/>
  <c r="AL21" i="58"/>
  <c r="AK21" i="58"/>
  <c r="AJ21" i="58"/>
  <c r="AI21" i="58"/>
  <c r="AL22" i="58" s="1"/>
  <c r="AH21" i="58"/>
  <c r="AL20" i="58"/>
  <c r="AN19" i="58"/>
  <c r="AM19" i="58"/>
  <c r="AL19" i="58"/>
  <c r="AK19" i="58"/>
  <c r="AJ19" i="58"/>
  <c r="AI19" i="58"/>
  <c r="AH19" i="58"/>
  <c r="AN17" i="58"/>
  <c r="AM17" i="58"/>
  <c r="AL17" i="58"/>
  <c r="AK17" i="58"/>
  <c r="AJ17" i="58"/>
  <c r="AI17" i="58"/>
  <c r="AL18" i="58" s="1"/>
  <c r="AH17" i="58"/>
  <c r="AL16" i="58"/>
  <c r="AN15" i="58"/>
  <c r="AM15" i="58"/>
  <c r="AL15" i="58"/>
  <c r="AK15" i="58"/>
  <c r="AJ15" i="58"/>
  <c r="AI15" i="58"/>
  <c r="AH15" i="58"/>
  <c r="AN13" i="58"/>
  <c r="AM13" i="58"/>
  <c r="AL13" i="58"/>
  <c r="AK13" i="58"/>
  <c r="AJ13" i="58"/>
  <c r="AI13" i="58"/>
  <c r="AL14" i="58" s="1"/>
  <c r="AH13" i="58"/>
  <c r="AL12" i="58"/>
  <c r="AN11" i="58"/>
  <c r="AM11" i="58"/>
  <c r="AL11" i="58"/>
  <c r="AK11" i="58"/>
  <c r="AJ11" i="58"/>
  <c r="AI11" i="58"/>
  <c r="AH11" i="58"/>
  <c r="AN9" i="58"/>
  <c r="AM9" i="58"/>
  <c r="AL9" i="58"/>
  <c r="AK9" i="58"/>
  <c r="AJ9" i="58"/>
  <c r="AI9" i="58"/>
  <c r="AL10" i="58" s="1"/>
  <c r="AH9" i="58"/>
  <c r="AL8" i="58"/>
  <c r="AN7" i="58"/>
  <c r="AM7" i="58"/>
  <c r="AL7" i="58"/>
  <c r="AK7" i="58"/>
  <c r="AJ7" i="58"/>
  <c r="AI7" i="58"/>
  <c r="AH7" i="58"/>
  <c r="AN5" i="58"/>
  <c r="AM5" i="58"/>
  <c r="AL5" i="58"/>
  <c r="AK5" i="58"/>
  <c r="AJ5" i="58"/>
  <c r="AI5" i="58"/>
  <c r="AL6" i="58" s="1"/>
  <c r="AH5" i="58"/>
  <c r="AL28" i="57"/>
  <c r="AN27" i="57"/>
  <c r="AL27" i="57"/>
  <c r="AK27" i="57"/>
  <c r="AJ27" i="57"/>
  <c r="AI27" i="57"/>
  <c r="AM27" i="57" s="1"/>
  <c r="AH27" i="57"/>
  <c r="AN25" i="57"/>
  <c r="AM25" i="57"/>
  <c r="AL25" i="57"/>
  <c r="AK25" i="57"/>
  <c r="AJ25" i="57"/>
  <c r="AI25" i="57"/>
  <c r="AL26" i="57" s="1"/>
  <c r="AH25" i="57"/>
  <c r="AN23" i="57"/>
  <c r="AM23" i="57"/>
  <c r="AL23" i="57"/>
  <c r="AK23" i="57"/>
  <c r="AJ23" i="57"/>
  <c r="AI23" i="57"/>
  <c r="AL24" i="57" s="1"/>
  <c r="AH23" i="57"/>
  <c r="AN21" i="57"/>
  <c r="AM21" i="57"/>
  <c r="AL21" i="57"/>
  <c r="AK21" i="57"/>
  <c r="AJ21" i="57"/>
  <c r="AI21" i="57"/>
  <c r="AL22" i="57" s="1"/>
  <c r="AH21" i="57"/>
  <c r="AL20" i="57"/>
  <c r="AN19" i="57"/>
  <c r="AM19" i="57"/>
  <c r="AL19" i="57"/>
  <c r="AK19" i="57"/>
  <c r="AJ19" i="57"/>
  <c r="AI19" i="57"/>
  <c r="AH19" i="57"/>
  <c r="AN17" i="57"/>
  <c r="AM17" i="57"/>
  <c r="AL17" i="57"/>
  <c r="AK17" i="57"/>
  <c r="AJ17" i="57"/>
  <c r="AI17" i="57"/>
  <c r="AL18" i="57" s="1"/>
  <c r="AH17" i="57"/>
  <c r="AL16" i="57"/>
  <c r="AN15" i="57"/>
  <c r="AM15" i="57"/>
  <c r="AL15" i="57"/>
  <c r="AK15" i="57"/>
  <c r="AJ15" i="57"/>
  <c r="AI15" i="57"/>
  <c r="AH15" i="57"/>
  <c r="AN13" i="57"/>
  <c r="AM13" i="57"/>
  <c r="AL13" i="57"/>
  <c r="AK13" i="57"/>
  <c r="AJ13" i="57"/>
  <c r="AI13" i="57"/>
  <c r="AL14" i="57" s="1"/>
  <c r="AH13" i="57"/>
  <c r="AL12" i="57"/>
  <c r="AN11" i="57"/>
  <c r="AM11" i="57"/>
  <c r="AL11" i="57"/>
  <c r="AK11" i="57"/>
  <c r="AJ11" i="57"/>
  <c r="AI11" i="57"/>
  <c r="AH11" i="57"/>
  <c r="AO11" i="57" s="1"/>
  <c r="AN9" i="57"/>
  <c r="AM9" i="57"/>
  <c r="AL9" i="57"/>
  <c r="AK9" i="57"/>
  <c r="AJ9" i="57"/>
  <c r="AI9" i="57"/>
  <c r="AL10" i="57" s="1"/>
  <c r="AH9" i="57"/>
  <c r="AL8" i="57"/>
  <c r="AN7" i="57"/>
  <c r="AM7" i="57"/>
  <c r="AL7" i="57"/>
  <c r="AK7" i="57"/>
  <c r="AJ7" i="57"/>
  <c r="AI7" i="57"/>
  <c r="AH7" i="57"/>
  <c r="AN5" i="57"/>
  <c r="AM5" i="57"/>
  <c r="AL5" i="57"/>
  <c r="AK5" i="57"/>
  <c r="AJ5" i="57"/>
  <c r="AI5" i="57"/>
  <c r="AL6" i="57" s="1"/>
  <c r="AH5" i="57"/>
  <c r="AL28" i="56"/>
  <c r="AN27" i="56"/>
  <c r="AL27" i="56"/>
  <c r="AK27" i="56"/>
  <c r="AJ27" i="56"/>
  <c r="AI27" i="56"/>
  <c r="AM27" i="56" s="1"/>
  <c r="AH27" i="56"/>
  <c r="AN25" i="56"/>
  <c r="AM25" i="56"/>
  <c r="AL25" i="56"/>
  <c r="AK25" i="56"/>
  <c r="AJ25" i="56"/>
  <c r="AI25" i="56"/>
  <c r="AL26" i="56" s="1"/>
  <c r="AH25" i="56"/>
  <c r="AL24" i="56"/>
  <c r="AN23" i="56"/>
  <c r="AM23" i="56"/>
  <c r="AL23" i="56"/>
  <c r="AK23" i="56"/>
  <c r="AJ23" i="56"/>
  <c r="AI23" i="56"/>
  <c r="AH23" i="56"/>
  <c r="AO23" i="56" s="1"/>
  <c r="AN21" i="56"/>
  <c r="AM21" i="56"/>
  <c r="AL21" i="56"/>
  <c r="AK21" i="56"/>
  <c r="AJ21" i="56"/>
  <c r="AI21" i="56"/>
  <c r="AL22" i="56" s="1"/>
  <c r="AH21" i="56"/>
  <c r="AL20" i="56"/>
  <c r="AN19" i="56"/>
  <c r="AM19" i="56"/>
  <c r="AL19" i="56"/>
  <c r="AJ19" i="56"/>
  <c r="AI19" i="56"/>
  <c r="AH19" i="56"/>
  <c r="P19" i="56"/>
  <c r="AK19" i="56" s="1"/>
  <c r="AL18" i="56"/>
  <c r="AN17" i="56"/>
  <c r="AM17" i="56"/>
  <c r="AL17" i="56"/>
  <c r="AK17" i="56"/>
  <c r="AJ17" i="56"/>
  <c r="AI17" i="56"/>
  <c r="AH17" i="56"/>
  <c r="AN15" i="56"/>
  <c r="AM15" i="56"/>
  <c r="AL15" i="56"/>
  <c r="AK15" i="56"/>
  <c r="AJ15" i="56"/>
  <c r="AI15" i="56"/>
  <c r="AL16" i="56" s="1"/>
  <c r="AH15" i="56"/>
  <c r="AL14" i="56"/>
  <c r="AN13" i="56"/>
  <c r="AM13" i="56"/>
  <c r="AL13" i="56"/>
  <c r="AK13" i="56"/>
  <c r="AJ13" i="56"/>
  <c r="AI13" i="56"/>
  <c r="AH13" i="56"/>
  <c r="AN11" i="56"/>
  <c r="AM11" i="56"/>
  <c r="AL11" i="56"/>
  <c r="AK11" i="56"/>
  <c r="AJ11" i="56"/>
  <c r="AI11" i="56"/>
  <c r="AL12" i="56" s="1"/>
  <c r="AH11" i="56"/>
  <c r="AL10" i="56"/>
  <c r="AN9" i="56"/>
  <c r="AM9" i="56"/>
  <c r="AL9" i="56"/>
  <c r="AK9" i="56"/>
  <c r="AJ9" i="56"/>
  <c r="AI9" i="56"/>
  <c r="AH9" i="56"/>
  <c r="AN7" i="56"/>
  <c r="AM7" i="56"/>
  <c r="AL7" i="56"/>
  <c r="AK7" i="56"/>
  <c r="AJ7" i="56"/>
  <c r="AI7" i="56"/>
  <c r="AL8" i="56" s="1"/>
  <c r="AH7" i="56"/>
  <c r="AL6" i="56"/>
  <c r="AN5" i="56"/>
  <c r="AM5" i="56"/>
  <c r="AL5" i="56"/>
  <c r="AK5" i="56"/>
  <c r="AJ5" i="56"/>
  <c r="AI5" i="56"/>
  <c r="AH5" i="56"/>
  <c r="AN27" i="55"/>
  <c r="AL27" i="55"/>
  <c r="AK27" i="55"/>
  <c r="AJ27" i="55"/>
  <c r="AI27" i="55"/>
  <c r="AL28" i="55" s="1"/>
  <c r="AH27" i="55"/>
  <c r="AL26" i="55"/>
  <c r="AN25" i="55"/>
  <c r="AM25" i="55"/>
  <c r="AL25" i="55"/>
  <c r="AK25" i="55"/>
  <c r="AJ25" i="55"/>
  <c r="AI25" i="55"/>
  <c r="AH25" i="55"/>
  <c r="AN23" i="55"/>
  <c r="AM23" i="55"/>
  <c r="AL23" i="55"/>
  <c r="AK23" i="55"/>
  <c r="AJ23" i="55"/>
  <c r="AI23" i="55"/>
  <c r="AL24" i="55" s="1"/>
  <c r="AH23" i="55"/>
  <c r="AL22" i="55"/>
  <c r="AN21" i="55"/>
  <c r="AM21" i="55"/>
  <c r="AL21" i="55"/>
  <c r="AK21" i="55"/>
  <c r="AJ21" i="55"/>
  <c r="AI21" i="55"/>
  <c r="AH21" i="55"/>
  <c r="AN19" i="55"/>
  <c r="AM19" i="55"/>
  <c r="AL19" i="55"/>
  <c r="AK19" i="55"/>
  <c r="AJ19" i="55"/>
  <c r="AI19" i="55"/>
  <c r="AL20" i="55" s="1"/>
  <c r="AH19" i="55"/>
  <c r="AL18" i="55"/>
  <c r="AN17" i="55"/>
  <c r="AM17" i="55"/>
  <c r="AL17" i="55"/>
  <c r="AK17" i="55"/>
  <c r="AJ17" i="55"/>
  <c r="AI17" i="55"/>
  <c r="AH17" i="55"/>
  <c r="AN15" i="55"/>
  <c r="AM15" i="55"/>
  <c r="AL15" i="55"/>
  <c r="AK15" i="55"/>
  <c r="AJ15" i="55"/>
  <c r="AI15" i="55"/>
  <c r="AL16" i="55" s="1"/>
  <c r="AH15" i="55"/>
  <c r="AL14" i="55"/>
  <c r="AN13" i="55"/>
  <c r="AM13" i="55"/>
  <c r="AL13" i="55"/>
  <c r="AK13" i="55"/>
  <c r="AJ13" i="55"/>
  <c r="AI13" i="55"/>
  <c r="AH13" i="55"/>
  <c r="AN11" i="55"/>
  <c r="AM11" i="55"/>
  <c r="AL11" i="55"/>
  <c r="AK11" i="55"/>
  <c r="AJ11" i="55"/>
  <c r="AI11" i="55"/>
  <c r="AL12" i="55" s="1"/>
  <c r="AH11" i="55"/>
  <c r="AL10" i="55"/>
  <c r="AN9" i="55"/>
  <c r="AM9" i="55"/>
  <c r="AL9" i="55"/>
  <c r="AK9" i="55"/>
  <c r="AJ9" i="55"/>
  <c r="AI9" i="55"/>
  <c r="AH9" i="55"/>
  <c r="AN7" i="55"/>
  <c r="AM7" i="55"/>
  <c r="AL7" i="55"/>
  <c r="AK7" i="55"/>
  <c r="AJ7" i="55"/>
  <c r="AI7" i="55"/>
  <c r="AL8" i="55" s="1"/>
  <c r="AH7" i="55"/>
  <c r="AL6" i="55"/>
  <c r="AN5" i="55"/>
  <c r="AM5" i="55"/>
  <c r="AL5" i="55"/>
  <c r="AK5" i="55"/>
  <c r="AJ5" i="55"/>
  <c r="AI5" i="55"/>
  <c r="AH5" i="55"/>
  <c r="AO27" i="54"/>
  <c r="AO27" i="55" s="1"/>
  <c r="AN27" i="54"/>
  <c r="AL27" i="54"/>
  <c r="AK27" i="54"/>
  <c r="AJ27" i="54"/>
  <c r="AI27" i="54"/>
  <c r="AL28" i="54" s="1"/>
  <c r="AH27" i="54"/>
  <c r="AL26" i="54"/>
  <c r="AN25" i="54"/>
  <c r="AM25" i="54"/>
  <c r="AL25" i="54"/>
  <c r="AK25" i="54"/>
  <c r="AJ25" i="54"/>
  <c r="AI25" i="54"/>
  <c r="AH25" i="54"/>
  <c r="AO25" i="54" s="1"/>
  <c r="AO23" i="54"/>
  <c r="AO23" i="55" s="1"/>
  <c r="AN23" i="54"/>
  <c r="AM23" i="54"/>
  <c r="AL23" i="54"/>
  <c r="AK23" i="54"/>
  <c r="AJ23" i="54"/>
  <c r="AI23" i="54"/>
  <c r="AL24" i="54" s="1"/>
  <c r="AH23" i="54"/>
  <c r="AL22" i="54"/>
  <c r="AN21" i="54"/>
  <c r="AM21" i="54"/>
  <c r="AL21" i="54"/>
  <c r="AK21" i="54"/>
  <c r="AJ21" i="54"/>
  <c r="AI21" i="54"/>
  <c r="AH21" i="54"/>
  <c r="AO21" i="54" s="1"/>
  <c r="AO19" i="54"/>
  <c r="AO19" i="55" s="1"/>
  <c r="AN19" i="54"/>
  <c r="AM19" i="54"/>
  <c r="AL19" i="54"/>
  <c r="AK19" i="54"/>
  <c r="AJ19" i="54"/>
  <c r="AI19" i="54"/>
  <c r="AL20" i="54" s="1"/>
  <c r="AH19" i="54"/>
  <c r="AL18" i="54"/>
  <c r="AN17" i="54"/>
  <c r="AM17" i="54"/>
  <c r="AL17" i="54"/>
  <c r="AK17" i="54"/>
  <c r="AJ17" i="54"/>
  <c r="AI17" i="54"/>
  <c r="AH17" i="54"/>
  <c r="AO17" i="54" s="1"/>
  <c r="AO15" i="54"/>
  <c r="AO15" i="55" s="1"/>
  <c r="AO15" i="56" s="1"/>
  <c r="AN15" i="54"/>
  <c r="AM15" i="54"/>
  <c r="AL15" i="54"/>
  <c r="AK15" i="54"/>
  <c r="AJ15" i="54"/>
  <c r="AI15" i="54"/>
  <c r="AL16" i="54" s="1"/>
  <c r="AH15" i="54"/>
  <c r="AL14" i="54"/>
  <c r="AN13" i="54"/>
  <c r="AM13" i="54"/>
  <c r="AL13" i="54"/>
  <c r="AK13" i="54"/>
  <c r="AJ13" i="54"/>
  <c r="AI13" i="54"/>
  <c r="AH13" i="54"/>
  <c r="AO13" i="54" s="1"/>
  <c r="AO11" i="54"/>
  <c r="AO11" i="55" s="1"/>
  <c r="AO11" i="56" s="1"/>
  <c r="AN11" i="54"/>
  <c r="AM11" i="54"/>
  <c r="AL11" i="54"/>
  <c r="AK11" i="54"/>
  <c r="AJ11" i="54"/>
  <c r="AI11" i="54"/>
  <c r="AL12" i="54" s="1"/>
  <c r="AH11" i="54"/>
  <c r="AL10" i="54"/>
  <c r="AN9" i="54"/>
  <c r="AM9" i="54"/>
  <c r="AL9" i="54"/>
  <c r="AK9" i="54"/>
  <c r="AJ9" i="54"/>
  <c r="AI9" i="54"/>
  <c r="AH9" i="54"/>
  <c r="AO9" i="54" s="1"/>
  <c r="AO7" i="54"/>
  <c r="AO7" i="55" s="1"/>
  <c r="AO7" i="56" s="1"/>
  <c r="AN7" i="54"/>
  <c r="AM7" i="54"/>
  <c r="AL7" i="54"/>
  <c r="AK7" i="54"/>
  <c r="AJ7" i="54"/>
  <c r="AI7" i="54"/>
  <c r="AL8" i="54" s="1"/>
  <c r="AH7" i="54"/>
  <c r="AL6" i="54"/>
  <c r="AN5" i="54"/>
  <c r="AM5" i="54"/>
  <c r="AL5" i="54"/>
  <c r="AK5" i="54"/>
  <c r="AJ5" i="54"/>
  <c r="AI5" i="54"/>
  <c r="AH5" i="54"/>
  <c r="AO5" i="54" s="1"/>
  <c r="AP29" i="63"/>
  <c r="AP29" i="64" s="1"/>
  <c r="AP29" i="65" s="1"/>
  <c r="AO29" i="63"/>
  <c r="AM29" i="63"/>
  <c r="AL29" i="63"/>
  <c r="AK29" i="63"/>
  <c r="AJ29" i="63"/>
  <c r="AM30" i="63" s="1"/>
  <c r="AI29" i="63"/>
  <c r="AH29" i="63" a="1"/>
  <c r="AH29" i="63" s="1"/>
  <c r="AM28" i="63"/>
  <c r="AO27" i="63"/>
  <c r="AM27" i="63"/>
  <c r="AL27" i="63"/>
  <c r="AK27" i="63"/>
  <c r="AJ27" i="63"/>
  <c r="AN27" i="63" s="1"/>
  <c r="AI27" i="63"/>
  <c r="AH27" i="63" a="1"/>
  <c r="AH27" i="63"/>
  <c r="AO25" i="63"/>
  <c r="AN25" i="63"/>
  <c r="AM25" i="63"/>
  <c r="AL25" i="63"/>
  <c r="AK25" i="63"/>
  <c r="AJ25" i="63"/>
  <c r="AM26" i="63" s="1"/>
  <c r="AI25" i="63"/>
  <c r="AH25" i="63" a="1"/>
  <c r="AH25" i="63" s="1"/>
  <c r="AM24" i="63"/>
  <c r="AO23" i="63"/>
  <c r="AN23" i="63"/>
  <c r="AM23" i="63"/>
  <c r="AL23" i="63"/>
  <c r="AK23" i="63"/>
  <c r="AJ23" i="63"/>
  <c r="AI23" i="63"/>
  <c r="AH23" i="63" a="1"/>
  <c r="AH23" i="63"/>
  <c r="AO21" i="63"/>
  <c r="AN21" i="63"/>
  <c r="AM21" i="63"/>
  <c r="AL21" i="63"/>
  <c r="AK21" i="63"/>
  <c r="AJ21" i="63"/>
  <c r="AM22" i="63" s="1"/>
  <c r="AI21" i="63"/>
  <c r="AH21" i="63" a="1"/>
  <c r="AH21" i="63" s="1"/>
  <c r="AM20" i="63"/>
  <c r="AO19" i="63"/>
  <c r="AN19" i="63"/>
  <c r="AM19" i="63"/>
  <c r="AL19" i="63"/>
  <c r="AK19" i="63"/>
  <c r="AJ19" i="63"/>
  <c r="AI19" i="63"/>
  <c r="AH19" i="63" a="1"/>
  <c r="AH19" i="63"/>
  <c r="AO17" i="63"/>
  <c r="AN17" i="63"/>
  <c r="AM17" i="63"/>
  <c r="AL17" i="63"/>
  <c r="AK17" i="63"/>
  <c r="AJ17" i="63"/>
  <c r="AM18" i="63" s="1"/>
  <c r="AI17" i="63"/>
  <c r="AH17" i="63" a="1"/>
  <c r="AH17" i="63" s="1"/>
  <c r="AM16" i="63"/>
  <c r="AO15" i="63"/>
  <c r="AN15" i="63"/>
  <c r="AM15" i="63"/>
  <c r="AL15" i="63"/>
  <c r="AK15" i="63"/>
  <c r="AJ15" i="63"/>
  <c r="AI15" i="63"/>
  <c r="AH15" i="63" a="1"/>
  <c r="AH15" i="63"/>
  <c r="AO13" i="63"/>
  <c r="AN13" i="63"/>
  <c r="AM13" i="63"/>
  <c r="AL13" i="63"/>
  <c r="AK13" i="63"/>
  <c r="AJ13" i="63"/>
  <c r="AM14" i="63" s="1"/>
  <c r="AI13" i="63"/>
  <c r="AH13" i="63" a="1"/>
  <c r="AH13" i="63" s="1"/>
  <c r="AM12" i="63"/>
  <c r="AO11" i="63"/>
  <c r="AN11" i="63"/>
  <c r="AM11" i="63"/>
  <c r="AL11" i="63"/>
  <c r="AK11" i="63"/>
  <c r="AJ11" i="63"/>
  <c r="AI11" i="63"/>
  <c r="AH11" i="63" a="1"/>
  <c r="AH11" i="63"/>
  <c r="AO9" i="63"/>
  <c r="AN9" i="63"/>
  <c r="AM9" i="63"/>
  <c r="AL9" i="63"/>
  <c r="AK9" i="63"/>
  <c r="AJ9" i="63"/>
  <c r="AM10" i="63" s="1"/>
  <c r="AI9" i="63"/>
  <c r="AH9" i="63" a="1"/>
  <c r="AH9" i="63" s="1"/>
  <c r="AM8" i="63"/>
  <c r="AO7" i="63"/>
  <c r="AN7" i="63"/>
  <c r="AM7" i="63"/>
  <c r="AL7" i="63"/>
  <c r="AK7" i="63"/>
  <c r="AJ7" i="63"/>
  <c r="AI7" i="63"/>
  <c r="AH7" i="63" a="1"/>
  <c r="AH7" i="63"/>
  <c r="AO5" i="63"/>
  <c r="AN5" i="63"/>
  <c r="AM5" i="63"/>
  <c r="AL5" i="63"/>
  <c r="AK5" i="63"/>
  <c r="AJ5" i="63"/>
  <c r="AM6" i="63" s="1"/>
  <c r="AI5" i="63"/>
  <c r="AH5" i="63" a="1"/>
  <c r="AH5" i="63" s="1"/>
  <c r="C2" i="63"/>
  <c r="AO7" i="57" l="1"/>
  <c r="AO17" i="55"/>
  <c r="AO17" i="56" s="1"/>
  <c r="AO17" i="57" s="1"/>
  <c r="AO17" i="58" s="1"/>
  <c r="AO17" i="59" s="1"/>
  <c r="AP17" i="60" s="1"/>
  <c r="AP17" i="61" s="1"/>
  <c r="AP17" i="62" s="1"/>
  <c r="AP17" i="63" s="1"/>
  <c r="AP17" i="64" s="1"/>
  <c r="AP17" i="65" s="1"/>
  <c r="AO9" i="55"/>
  <c r="AO25" i="55"/>
  <c r="AO25" i="56" s="1"/>
  <c r="AO25" i="57" s="1"/>
  <c r="AO25" i="58" s="1"/>
  <c r="AO25" i="59" s="1"/>
  <c r="AP25" i="60" s="1"/>
  <c r="AP25" i="61" s="1"/>
  <c r="AP25" i="62" s="1"/>
  <c r="AP25" i="63" s="1"/>
  <c r="AP25" i="64" s="1"/>
  <c r="AP25" i="65" s="1"/>
  <c r="AO19" i="56"/>
  <c r="AO19" i="57" s="1"/>
  <c r="AO19" i="58" s="1"/>
  <c r="AO19" i="59" s="1"/>
  <c r="AP19" i="60" s="1"/>
  <c r="AP19" i="61" s="1"/>
  <c r="AP19" i="62" s="1"/>
  <c r="AP19" i="63" s="1"/>
  <c r="AP19" i="64" s="1"/>
  <c r="AP19" i="65" s="1"/>
  <c r="AO13" i="55"/>
  <c r="AO13" i="56" s="1"/>
  <c r="AO13" i="57" s="1"/>
  <c r="AO13" i="58" s="1"/>
  <c r="AO13" i="59" s="1"/>
  <c r="AP13" i="60" s="1"/>
  <c r="AP13" i="61" s="1"/>
  <c r="AP13" i="62" s="1"/>
  <c r="AP13" i="63" s="1"/>
  <c r="AP13" i="64" s="1"/>
  <c r="AP13" i="65" s="1"/>
  <c r="AO5" i="55"/>
  <c r="AO5" i="56" s="1"/>
  <c r="AO5" i="57" s="1"/>
  <c r="AO5" i="58" s="1"/>
  <c r="AO5" i="59" s="1"/>
  <c r="AP5" i="60" s="1"/>
  <c r="AP5" i="61" s="1"/>
  <c r="AP5" i="62" s="1"/>
  <c r="AP5" i="63" s="1"/>
  <c r="AP5" i="64" s="1"/>
  <c r="AP5" i="65" s="1"/>
  <c r="AO21" i="55"/>
  <c r="AO21" i="56" s="1"/>
  <c r="AO21" i="57" s="1"/>
  <c r="AO21" i="58" s="1"/>
  <c r="AO21" i="59" s="1"/>
  <c r="AP21" i="60" s="1"/>
  <c r="AP21" i="61" s="1"/>
  <c r="AP21" i="62" s="1"/>
  <c r="AP21" i="63" s="1"/>
  <c r="AP21" i="64" s="1"/>
  <c r="AP21" i="65" s="1"/>
  <c r="AO9" i="56"/>
  <c r="AO9" i="57" s="1"/>
  <c r="AO9" i="58" s="1"/>
  <c r="AO9" i="59" s="1"/>
  <c r="AP9" i="60" s="1"/>
  <c r="AP9" i="61" s="1"/>
  <c r="AP9" i="62" s="1"/>
  <c r="AP9" i="63" s="1"/>
  <c r="AP9" i="64" s="1"/>
  <c r="AP9" i="65" s="1"/>
  <c r="AO27" i="56"/>
  <c r="AO27" i="57" s="1"/>
  <c r="AO27" i="58" s="1"/>
  <c r="AO27" i="59" s="1"/>
  <c r="AP27" i="60" s="1"/>
  <c r="AP27" i="61" s="1"/>
  <c r="AP27" i="62" s="1"/>
  <c r="AP27" i="63" s="1"/>
  <c r="AP27" i="64" s="1"/>
  <c r="AP27" i="65" s="1"/>
  <c r="AM27" i="55"/>
  <c r="AO15" i="57"/>
  <c r="AO15" i="58" s="1"/>
  <c r="AO15" i="59" s="1"/>
  <c r="AP15" i="60" s="1"/>
  <c r="AP15" i="61" s="1"/>
  <c r="AP15" i="62" s="1"/>
  <c r="AP15" i="63" s="1"/>
  <c r="AP15" i="64" s="1"/>
  <c r="AP15" i="65" s="1"/>
  <c r="AM27" i="54"/>
  <c r="AO7" i="58"/>
  <c r="AO7" i="59" s="1"/>
  <c r="AP7" i="60" s="1"/>
  <c r="AP7" i="61" s="1"/>
  <c r="AP7" i="62" s="1"/>
  <c r="AP7" i="63" s="1"/>
  <c r="AP7" i="64" s="1"/>
  <c r="AP7" i="65" s="1"/>
  <c r="AO11" i="58"/>
  <c r="AO11" i="59" s="1"/>
  <c r="AP11" i="60" s="1"/>
  <c r="AP11" i="61" s="1"/>
  <c r="AP11" i="62" s="1"/>
  <c r="AP11" i="63" s="1"/>
  <c r="AP11" i="64" s="1"/>
  <c r="AP11" i="65" s="1"/>
  <c r="AN29" i="60"/>
  <c r="AN29" i="61"/>
  <c r="AN29" i="63"/>
  <c r="AO23" i="57"/>
  <c r="AO23" i="58" s="1"/>
  <c r="AO23" i="59" s="1"/>
  <c r="AP23" i="60" s="1"/>
  <c r="AP23" i="61" s="1"/>
  <c r="AP23" i="62" s="1"/>
  <c r="AP23" i="63" s="1"/>
  <c r="AP23" i="64" s="1"/>
  <c r="AP23" i="65" s="1"/>
  <c r="AN29" i="62"/>
  <c r="AN29" i="64"/>
  <c r="AN29" i="6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<sst xmlns="http://schemas.openxmlformats.org/spreadsheetml/2006/main" count="881" uniqueCount="68">
  <si>
    <t>序号</t>
  </si>
  <si>
    <t>姓名</t>
  </si>
  <si>
    <t>马道旭</t>
  </si>
  <si>
    <t>顾桢鸿</t>
  </si>
  <si>
    <t>顾晓维</t>
  </si>
  <si>
    <t>吴丽娟</t>
  </si>
  <si>
    <t>夏莉萍</t>
  </si>
  <si>
    <t>徐启双</t>
  </si>
  <si>
    <t>张静</t>
  </si>
  <si>
    <t>尤文娟</t>
  </si>
  <si>
    <t>核准：</t>
  </si>
  <si>
    <t>夏卉</t>
  </si>
  <si>
    <t>惠雅</t>
  </si>
  <si>
    <r>
      <rPr>
        <b/>
        <sz val="12"/>
        <color theme="1"/>
        <rFont val="等线"/>
        <family val="3"/>
        <charset val="134"/>
        <scheme val="minor"/>
      </rPr>
      <t>制表：</t>
    </r>
    <r>
      <rPr>
        <sz val="8"/>
        <color theme="0" tint="-0.499984740745262"/>
        <rFont val="等线"/>
        <family val="3"/>
        <charset val="134"/>
        <scheme val="minor"/>
      </rPr>
      <t>（顾桢鸿）</t>
    </r>
  </si>
  <si>
    <t>张永妹</t>
    <phoneticPr fontId="8" type="noConversion"/>
  </si>
  <si>
    <t>苏州晶讯科技股份有限公司 品管部</t>
    <phoneticPr fontId="11" type="noConversion"/>
  </si>
  <si>
    <r>
      <t xml:space="preserve">年度
总计
</t>
    </r>
    <r>
      <rPr>
        <b/>
        <sz val="11"/>
        <color rgb="FFFF0000"/>
        <rFont val="等线"/>
        <family val="3"/>
        <charset val="134"/>
        <scheme val="minor"/>
      </rPr>
      <t>年假</t>
    </r>
    <phoneticPr fontId="11" type="noConversion"/>
  </si>
  <si>
    <r>
      <t>本月
累计</t>
    </r>
    <r>
      <rPr>
        <sz val="11"/>
        <color rgb="FFFF0000"/>
        <rFont val="等线"/>
        <family val="3"/>
        <charset val="134"/>
        <scheme val="minor"/>
      </rPr>
      <t>年假</t>
    </r>
    <phoneticPr fontId="11" type="noConversion"/>
  </si>
  <si>
    <r>
      <t>本月累计</t>
    </r>
    <r>
      <rPr>
        <sz val="11"/>
        <color rgb="FFFF0000"/>
        <rFont val="等线"/>
        <family val="3"/>
        <charset val="134"/>
        <scheme val="minor"/>
      </rPr>
      <t>调休</t>
    </r>
    <phoneticPr fontId="11" type="noConversion"/>
  </si>
  <si>
    <r>
      <t>本月累计</t>
    </r>
    <r>
      <rPr>
        <sz val="11"/>
        <color rgb="FFFF0000"/>
        <rFont val="等线"/>
        <family val="3"/>
        <charset val="134"/>
        <scheme val="minor"/>
      </rPr>
      <t>病假</t>
    </r>
    <phoneticPr fontId="11" type="noConversion"/>
  </si>
  <si>
    <r>
      <t>本月累计</t>
    </r>
    <r>
      <rPr>
        <sz val="11"/>
        <color rgb="FFFF0000"/>
        <rFont val="等线"/>
        <family val="3"/>
        <charset val="134"/>
        <scheme val="minor"/>
      </rPr>
      <t>事假</t>
    </r>
    <phoneticPr fontId="11" type="noConversion"/>
  </si>
  <si>
    <t>年</t>
    <phoneticPr fontId="8" type="noConversion"/>
  </si>
  <si>
    <t>调</t>
    <phoneticPr fontId="8" type="noConversion"/>
  </si>
  <si>
    <r>
      <t>审核：</t>
    </r>
    <r>
      <rPr>
        <sz val="8"/>
        <color theme="0" tint="-0.499984740745262"/>
        <rFont val="等线"/>
        <family val="3"/>
        <charset val="134"/>
        <scheme val="minor"/>
      </rPr>
      <t>（马道旭）</t>
    </r>
    <phoneticPr fontId="11" type="noConversion"/>
  </si>
  <si>
    <t>备注</t>
    <phoneticPr fontId="8" type="noConversion"/>
  </si>
  <si>
    <t>#</t>
    <phoneticPr fontId="8" type="noConversion"/>
  </si>
  <si>
    <t>平时</t>
    <phoneticPr fontId="8" type="noConversion"/>
  </si>
  <si>
    <t>国假</t>
    <phoneticPr fontId="8" type="noConversion"/>
  </si>
  <si>
    <t>G</t>
    <phoneticPr fontId="8" type="noConversion"/>
  </si>
  <si>
    <t>P</t>
    <phoneticPr fontId="8" type="noConversion"/>
  </si>
  <si>
    <t>S</t>
    <phoneticPr fontId="8" type="noConversion"/>
  </si>
  <si>
    <t xml:space="preserve">注：①“年”指年假； ②“病”指有薪病假； ③“事”指事假； ④单位：小时； ⑤“居”指居家办公；⑥调休优先抵扣优先级：双休日&gt;国假&gt;平时加班，调休后统计加班累计； </t>
    <phoneticPr fontId="11" type="noConversion"/>
  </si>
  <si>
    <t>休息日</t>
    <phoneticPr fontId="8" type="noConversion"/>
  </si>
  <si>
    <r>
      <t>本月累计</t>
    </r>
    <r>
      <rPr>
        <sz val="11"/>
        <color rgb="FFFF0000"/>
        <rFont val="等线"/>
        <family val="3"/>
        <charset val="134"/>
        <scheme val="minor"/>
      </rPr>
      <t>加班</t>
    </r>
    <phoneticPr fontId="8" type="noConversion"/>
  </si>
  <si>
    <t>亢亦宁</t>
    <phoneticPr fontId="11" type="noConversion"/>
  </si>
  <si>
    <r>
      <t>2026年1月出勤状况</t>
    </r>
    <r>
      <rPr>
        <sz val="10"/>
        <color theme="1"/>
        <rFont val="等线"/>
        <family val="3"/>
        <charset val="134"/>
        <scheme val="minor"/>
      </rPr>
      <t>(工作日:21天)</t>
    </r>
    <phoneticPr fontId="8" type="noConversion"/>
  </si>
  <si>
    <r>
      <t>2026年2月出勤状况</t>
    </r>
    <r>
      <rPr>
        <sz val="10"/>
        <color theme="1"/>
        <rFont val="等线"/>
        <family val="3"/>
        <charset val="134"/>
        <scheme val="minor"/>
      </rPr>
      <t>(工作日:16天)</t>
    </r>
    <phoneticPr fontId="8" type="noConversion"/>
  </si>
  <si>
    <r>
      <t>2026年3月出勤状况</t>
    </r>
    <r>
      <rPr>
        <sz val="10"/>
        <color theme="1"/>
        <rFont val="等线"/>
        <family val="3"/>
        <charset val="134"/>
        <scheme val="minor"/>
      </rPr>
      <t>(工作日:22天)</t>
    </r>
    <phoneticPr fontId="8" type="noConversion"/>
  </si>
  <si>
    <t>年假</t>
    <phoneticPr fontId="8" type="noConversion"/>
  </si>
  <si>
    <t>本月累计</t>
    <phoneticPr fontId="11" type="noConversion"/>
  </si>
  <si>
    <t>病假</t>
    <phoneticPr fontId="8" type="noConversion"/>
  </si>
  <si>
    <t>事假</t>
    <phoneticPr fontId="8" type="noConversion"/>
  </si>
  <si>
    <t>加班</t>
    <phoneticPr fontId="8" type="noConversion"/>
  </si>
  <si>
    <t>请假</t>
    <phoneticPr fontId="8" type="noConversion"/>
  </si>
  <si>
    <t>调休</t>
    <phoneticPr fontId="8" type="noConversion"/>
  </si>
  <si>
    <r>
      <t>2026年4月出勤状况</t>
    </r>
    <r>
      <rPr>
        <sz val="10"/>
        <color theme="1"/>
        <rFont val="等线"/>
        <family val="3"/>
        <charset val="134"/>
        <scheme val="minor"/>
      </rPr>
      <t>(工作日:22天)</t>
    </r>
    <phoneticPr fontId="8" type="noConversion"/>
  </si>
  <si>
    <r>
      <t>2026年5月出勤状况</t>
    </r>
    <r>
      <rPr>
        <sz val="10"/>
        <color theme="1"/>
        <rFont val="等线"/>
        <family val="3"/>
        <charset val="134"/>
        <scheme val="minor"/>
      </rPr>
      <t>(工作日:19天)</t>
    </r>
    <phoneticPr fontId="8" type="noConversion"/>
  </si>
  <si>
    <t>为记载方便，19日年假合并记录进18日</t>
    <phoneticPr fontId="8" type="noConversion"/>
  </si>
  <si>
    <t>5月</t>
    <phoneticPr fontId="8" type="noConversion"/>
  </si>
  <si>
    <r>
      <t>2026年6月出勤状况</t>
    </r>
    <r>
      <rPr>
        <sz val="10"/>
        <color theme="1"/>
        <rFont val="等线"/>
        <family val="3"/>
        <charset val="134"/>
        <scheme val="minor"/>
      </rPr>
      <t>(工作日:22天)</t>
    </r>
    <phoneticPr fontId="8" type="noConversion"/>
  </si>
  <si>
    <t>6.3年假记入6.4
5.29记入5月</t>
    <phoneticPr fontId="8" type="noConversion"/>
  </si>
  <si>
    <t>5.25、5.29记入5月</t>
    <phoneticPr fontId="8" type="noConversion"/>
  </si>
  <si>
    <t>6.4年假记入6.3</t>
    <phoneticPr fontId="8" type="noConversion"/>
  </si>
  <si>
    <t>5.29记入5月</t>
    <phoneticPr fontId="8" type="noConversion"/>
  </si>
  <si>
    <t>独</t>
    <phoneticPr fontId="8" type="noConversion"/>
  </si>
  <si>
    <t>其它</t>
    <phoneticPr fontId="8" type="noConversion"/>
  </si>
  <si>
    <t>赵婷</t>
    <phoneticPr fontId="8" type="noConversion"/>
  </si>
  <si>
    <r>
      <t>注：①</t>
    </r>
    <r>
      <rPr>
        <b/>
        <sz val="11"/>
        <color theme="1"/>
        <rFont val="等线"/>
        <family val="3"/>
        <charset val="134"/>
        <scheme val="minor"/>
      </rPr>
      <t>“年”</t>
    </r>
    <r>
      <rPr>
        <sz val="11"/>
        <color theme="1"/>
        <rFont val="等线"/>
        <family val="3"/>
        <charset val="134"/>
        <scheme val="minor"/>
      </rPr>
      <t>-年假；</t>
    </r>
    <r>
      <rPr>
        <b/>
        <sz val="11"/>
        <color theme="1"/>
        <rFont val="等线"/>
        <family val="3"/>
        <charset val="134"/>
        <scheme val="minor"/>
      </rPr>
      <t>“病”</t>
    </r>
    <r>
      <rPr>
        <sz val="11"/>
        <color theme="1"/>
        <rFont val="等线"/>
        <family val="3"/>
        <charset val="134"/>
        <scheme val="minor"/>
      </rPr>
      <t>-有薪病假；</t>
    </r>
    <r>
      <rPr>
        <b/>
        <sz val="11"/>
        <color theme="1"/>
        <rFont val="等线"/>
        <family val="3"/>
        <charset val="134"/>
        <scheme val="minor"/>
      </rPr>
      <t>“事”</t>
    </r>
    <r>
      <rPr>
        <sz val="11"/>
        <color theme="1"/>
        <rFont val="等线"/>
        <family val="3"/>
        <charset val="134"/>
        <scheme val="minor"/>
      </rPr>
      <t>-事假；</t>
    </r>
    <r>
      <rPr>
        <b/>
        <sz val="11"/>
        <color theme="1"/>
        <rFont val="等线"/>
        <family val="3"/>
        <charset val="134"/>
        <scheme val="minor"/>
      </rPr>
      <t>“独”</t>
    </r>
    <r>
      <rPr>
        <sz val="11"/>
        <color theme="1"/>
        <rFont val="等线"/>
        <family val="3"/>
        <charset val="134"/>
        <scheme val="minor"/>
      </rPr>
      <t>-独生子女陪护假；</t>
    </r>
    <r>
      <rPr>
        <b/>
        <sz val="11"/>
        <color theme="1"/>
        <rFont val="等线"/>
        <family val="3"/>
        <charset val="134"/>
        <scheme val="minor"/>
      </rPr>
      <t>“居”</t>
    </r>
    <r>
      <rPr>
        <sz val="11"/>
        <color theme="1"/>
        <rFont val="等线"/>
        <family val="3"/>
        <charset val="134"/>
        <scheme val="minor"/>
      </rPr>
      <t xml:space="preserve">-居家办公  ②单位：小时；③调休优先抵扣优先级：双休日&gt;国假&gt;平时加班，调休后统计加班累计； </t>
    </r>
    <phoneticPr fontId="11" type="noConversion"/>
  </si>
  <si>
    <r>
      <t>2026年7月出勤状况</t>
    </r>
    <r>
      <rPr>
        <sz val="10"/>
        <color theme="1"/>
        <rFont val="等线"/>
        <family val="3"/>
        <charset val="134"/>
        <scheme val="minor"/>
      </rPr>
      <t>(工作日:23天)</t>
    </r>
    <phoneticPr fontId="8" type="noConversion"/>
  </si>
  <si>
    <t>6.30加班记入7.1</t>
    <phoneticPr fontId="8" type="noConversion"/>
  </si>
  <si>
    <t>病</t>
    <phoneticPr fontId="8" type="noConversion"/>
  </si>
  <si>
    <t>7.31记入8.31</t>
    <phoneticPr fontId="8" type="noConversion"/>
  </si>
  <si>
    <t>其</t>
    <phoneticPr fontId="8" type="noConversion"/>
  </si>
  <si>
    <t>事</t>
    <phoneticPr fontId="8" type="noConversion"/>
  </si>
  <si>
    <t>平</t>
    <phoneticPr fontId="8" type="noConversion"/>
  </si>
  <si>
    <t>休</t>
    <phoneticPr fontId="8" type="noConversion"/>
  </si>
  <si>
    <t>国</t>
    <phoneticPr fontId="8" type="noConversion"/>
  </si>
  <si>
    <t>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</si>
</sst>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;[Red]\-0.0\ "/>
  </numFmts>
  <fonts count="22">
    <font>
      <sz val="11"/>
      <color theme="1"/>
      <name val="等线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8"/>
      <color theme="0" tint="-0.499984740745262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b/>
      <u val="double"/>
      <sz val="24"/>
      <color theme="1"/>
      <name val="等线"/>
      <family val="3"/>
      <charset val="134"/>
      <scheme val="minor"/>
    </font>
    <font>
      <sz val="8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11"/>
      <color theme="0" tint="-0.499984740745262"/>
      <name val="等线"/>
      <family val="3"/>
      <charset val="134"/>
      <scheme val="minor"/>
    </font>
    <font>
      <b/>
      <sz val="8"/>
      <color theme="1"/>
      <name val="等线"/>
      <family val="3"/>
      <charset val="134"/>
      <scheme val="minor"/>
    </font>
    <font>
      <sz val="8"/>
      <color rgb="FFFF0000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D7D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 tint="-4.9989318521683403E-2"/>
        <bgColor indexed="64"/>
      </patternFill>
    </fill>
  </fills>
  <borders count="74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medium">
        <color indexed="64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indexed="64"/>
      </top>
      <bottom style="hair">
        <color auto="1"/>
      </bottom>
      <diagonal/>
    </border>
    <border>
      <left/>
      <right/>
      <top style="thin">
        <color indexed="64"/>
      </top>
      <bottom style="hair">
        <color auto="1"/>
      </bottom>
      <diagonal/>
    </border>
    <border>
      <left/>
      <right style="thin">
        <color auto="1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30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>
      <alignment vertical="center"/>
    </xf>
    <xf numFmtId="0" fontId="3" fillId="0" borderId="0" xfId="0" applyFont="1" applyAlignment="1"/>
    <xf numFmtId="0" fontId="3" fillId="0" borderId="0" xfId="0" applyFont="1" applyAlignment="1">
      <alignment horizontal="center"/>
    </xf>
    <xf numFmtId="0" fontId="12" fillId="0" borderId="25" xfId="0" applyFont="1" applyBorder="1" applyAlignment="1">
      <alignment horizontal="center" vertical="center" shrinkToFit="1"/>
    </xf>
    <xf numFmtId="0" fontId="12" fillId="0" borderId="18" xfId="0" applyFont="1" applyBorder="1" applyAlignment="1">
      <alignment horizontal="center" vertical="center" shrinkToFit="1"/>
    </xf>
    <xf numFmtId="0" fontId="12" fillId="0" borderId="27" xfId="0" applyFont="1" applyBorder="1" applyAlignment="1">
      <alignment horizontal="center" vertical="center" shrinkToFit="1"/>
    </xf>
    <xf numFmtId="0" fontId="12" fillId="0" borderId="26" xfId="0" applyFont="1" applyBorder="1" applyAlignment="1">
      <alignment horizontal="center" vertical="center" shrinkToFit="1"/>
    </xf>
    <xf numFmtId="0" fontId="12" fillId="0" borderId="22" xfId="0" applyFont="1" applyBorder="1" applyAlignment="1">
      <alignment horizontal="center" vertical="center" shrinkToFit="1"/>
    </xf>
    <xf numFmtId="0" fontId="12" fillId="0" borderId="17" xfId="0" applyFont="1" applyBorder="1" applyAlignment="1">
      <alignment horizontal="center" vertical="center" shrinkToFit="1"/>
    </xf>
    <xf numFmtId="0" fontId="5" fillId="0" borderId="25" xfId="0" applyFont="1" applyBorder="1" applyAlignment="1">
      <alignment horizontal="center" vertical="center" shrinkToFit="1"/>
    </xf>
    <xf numFmtId="0" fontId="12" fillId="0" borderId="21" xfId="0" applyFont="1" applyBorder="1" applyAlignment="1">
      <alignment horizontal="center" vertical="center" shrinkToFit="1"/>
    </xf>
    <xf numFmtId="0" fontId="12" fillId="0" borderId="28" xfId="0" applyFont="1" applyBorder="1" applyAlignment="1">
      <alignment horizontal="center" vertical="center" shrinkToFit="1"/>
    </xf>
    <xf numFmtId="0" fontId="5" fillId="0" borderId="21" xfId="0" applyFont="1" applyBorder="1" applyAlignment="1">
      <alignment horizontal="center" vertical="center" shrinkToFit="1"/>
    </xf>
    <xf numFmtId="0" fontId="5" fillId="0" borderId="18" xfId="0" applyFont="1" applyBorder="1" applyAlignment="1">
      <alignment horizontal="center" vertical="center" shrinkToFit="1"/>
    </xf>
    <xf numFmtId="0" fontId="5" fillId="0" borderId="26" xfId="0" applyFont="1" applyBorder="1" applyAlignment="1">
      <alignment horizontal="center" vertical="center" shrinkToFit="1"/>
    </xf>
    <xf numFmtId="0" fontId="12" fillId="0" borderId="18" xfId="0" applyFont="1" applyBorder="1" applyAlignment="1">
      <alignment vertical="center" shrinkToFit="1"/>
    </xf>
    <xf numFmtId="0" fontId="5" fillId="0" borderId="25" xfId="0" applyFont="1" applyBorder="1" applyAlignment="1">
      <alignment vertical="center" shrinkToFit="1"/>
    </xf>
    <xf numFmtId="0" fontId="12" fillId="5" borderId="26" xfId="0" applyFont="1" applyFill="1" applyBorder="1" applyAlignment="1">
      <alignment horizontal="center" vertical="center" shrinkToFit="1"/>
    </xf>
    <xf numFmtId="0" fontId="12" fillId="5" borderId="18" xfId="0" applyFont="1" applyFill="1" applyBorder="1" applyAlignment="1">
      <alignment horizontal="center" vertical="center" shrinkToFit="1"/>
    </xf>
    <xf numFmtId="0" fontId="12" fillId="5" borderId="25" xfId="0" applyFont="1" applyFill="1" applyBorder="1" applyAlignment="1">
      <alignment horizontal="center" vertical="center" shrinkToFit="1"/>
    </xf>
    <xf numFmtId="0" fontId="5" fillId="5" borderId="25" xfId="0" applyFont="1" applyFill="1" applyBorder="1" applyAlignment="1">
      <alignment horizontal="center" vertical="center" shrinkToFit="1"/>
    </xf>
    <xf numFmtId="0" fontId="12" fillId="5" borderId="27" xfId="0" applyFont="1" applyFill="1" applyBorder="1" applyAlignment="1">
      <alignment horizontal="center" vertical="center" shrinkToFit="1"/>
    </xf>
    <xf numFmtId="0" fontId="5" fillId="3" borderId="26" xfId="0" applyFont="1" applyFill="1" applyBorder="1" applyAlignment="1">
      <alignment horizontal="center" vertical="center" shrinkToFit="1"/>
    </xf>
    <xf numFmtId="0" fontId="5" fillId="3" borderId="25" xfId="0" applyFont="1" applyFill="1" applyBorder="1" applyAlignment="1">
      <alignment horizontal="center" vertical="center" shrinkToFit="1"/>
    </xf>
    <xf numFmtId="0" fontId="12" fillId="5" borderId="17" xfId="0" applyFont="1" applyFill="1" applyBorder="1" applyAlignment="1">
      <alignment horizontal="center" vertical="center" shrinkToFit="1"/>
    </xf>
    <xf numFmtId="0" fontId="12" fillId="5" borderId="21" xfId="0" applyFont="1" applyFill="1" applyBorder="1" applyAlignment="1">
      <alignment horizontal="center" vertical="center" shrinkToFit="1"/>
    </xf>
    <xf numFmtId="0" fontId="12" fillId="5" borderId="28" xfId="0" applyFont="1" applyFill="1" applyBorder="1" applyAlignment="1">
      <alignment horizontal="center" vertical="center" shrinkToFit="1"/>
    </xf>
    <xf numFmtId="0" fontId="5" fillId="3" borderId="21" xfId="0" applyFont="1" applyFill="1" applyBorder="1" applyAlignment="1">
      <alignment horizontal="center" vertical="center" shrinkToFit="1"/>
    </xf>
    <xf numFmtId="0" fontId="12" fillId="5" borderId="22" xfId="0" applyFont="1" applyFill="1" applyBorder="1" applyAlignment="1">
      <alignment horizontal="center" vertical="center" shrinkToFit="1"/>
    </xf>
    <xf numFmtId="0" fontId="12" fillId="2" borderId="17" xfId="0" applyFont="1" applyFill="1" applyBorder="1" applyAlignment="1">
      <alignment horizontal="center" vertical="center" shrinkToFit="1"/>
    </xf>
    <xf numFmtId="0" fontId="12" fillId="2" borderId="21" xfId="0" applyFont="1" applyFill="1" applyBorder="1" applyAlignment="1">
      <alignment horizontal="center" vertical="center" shrinkToFit="1"/>
    </xf>
    <xf numFmtId="0" fontId="12" fillId="2" borderId="28" xfId="0" applyFont="1" applyFill="1" applyBorder="1" applyAlignment="1">
      <alignment horizontal="center" vertical="center" shrinkToFit="1"/>
    </xf>
    <xf numFmtId="0" fontId="5" fillId="3" borderId="18" xfId="0" applyFont="1" applyFill="1" applyBorder="1" applyAlignment="1">
      <alignment horizontal="center" vertical="center" shrinkToFit="1"/>
    </xf>
    <xf numFmtId="0" fontId="5" fillId="5" borderId="18" xfId="0" applyFont="1" applyFill="1" applyBorder="1" applyAlignment="1">
      <alignment horizontal="center" vertical="center" shrinkToFit="1"/>
    </xf>
    <xf numFmtId="0" fontId="12" fillId="2" borderId="26" xfId="0" applyFont="1" applyFill="1" applyBorder="1" applyAlignment="1">
      <alignment horizontal="center" vertical="center" shrinkToFit="1"/>
    </xf>
    <xf numFmtId="0" fontId="5" fillId="0" borderId="22" xfId="0" applyFont="1" applyBorder="1" applyAlignment="1">
      <alignment horizontal="center" vertical="center" shrinkToFit="1"/>
    </xf>
    <xf numFmtId="0" fontId="5" fillId="0" borderId="17" xfId="0" applyFont="1" applyBorder="1" applyAlignment="1">
      <alignment horizontal="center" vertical="center" shrinkToFit="1"/>
    </xf>
    <xf numFmtId="0" fontId="5" fillId="0" borderId="27" xfId="0" applyFont="1" applyBorder="1" applyAlignment="1">
      <alignment horizontal="center" vertical="center" shrinkToFit="1"/>
    </xf>
    <xf numFmtId="0" fontId="5" fillId="2" borderId="26" xfId="0" applyFont="1" applyFill="1" applyBorder="1" applyAlignment="1">
      <alignment horizontal="center" vertical="center" shrinkToFit="1"/>
    </xf>
    <xf numFmtId="0" fontId="5" fillId="2" borderId="18" xfId="0" applyFont="1" applyFill="1" applyBorder="1" applyAlignment="1">
      <alignment horizontal="center" vertical="center" shrinkToFit="1"/>
    </xf>
    <xf numFmtId="0" fontId="5" fillId="2" borderId="25" xfId="0" applyFont="1" applyFill="1" applyBorder="1" applyAlignment="1">
      <alignment horizontal="center" vertical="center" shrinkToFit="1"/>
    </xf>
    <xf numFmtId="0" fontId="5" fillId="2" borderId="27" xfId="0" applyFont="1" applyFill="1" applyBorder="1" applyAlignment="1">
      <alignment horizontal="center" vertical="center" shrinkToFit="1"/>
    </xf>
    <xf numFmtId="0" fontId="5" fillId="3" borderId="22" xfId="0" applyFont="1" applyFill="1" applyBorder="1" applyAlignment="1">
      <alignment horizontal="center" vertical="center" shrinkToFit="1"/>
    </xf>
    <xf numFmtId="0" fontId="5" fillId="3" borderId="17" xfId="0" applyFont="1" applyFill="1" applyBorder="1" applyAlignment="1">
      <alignment horizontal="center" vertical="center" shrinkToFit="1"/>
    </xf>
    <xf numFmtId="176" fontId="18" fillId="0" borderId="40" xfId="0" applyNumberFormat="1" applyFont="1" applyBorder="1" applyAlignment="1">
      <alignment horizontal="center" vertical="center" shrinkToFit="1"/>
    </xf>
    <xf numFmtId="0" fontId="13" fillId="5" borderId="25" xfId="0" applyFont="1" applyFill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0" fontId="5" fillId="0" borderId="18" xfId="0" applyFont="1" applyBorder="1" applyAlignment="1">
      <alignment vertical="center" shrinkToFit="1"/>
    </xf>
    <xf numFmtId="0" fontId="13" fillId="0" borderId="25" xfId="0" applyFont="1" applyBorder="1" applyAlignment="1">
      <alignment horizontal="center" vertical="center" wrapText="1"/>
    </xf>
    <xf numFmtId="0" fontId="5" fillId="5" borderId="22" xfId="0" applyFont="1" applyFill="1" applyBorder="1" applyAlignment="1">
      <alignment horizontal="center" vertical="center" shrinkToFit="1"/>
    </xf>
    <xf numFmtId="0" fontId="2" fillId="2" borderId="25" xfId="0" applyFont="1" applyFill="1" applyBorder="1" applyAlignment="1">
      <alignment horizontal="center" vertical="center"/>
    </xf>
    <xf numFmtId="0" fontId="5" fillId="0" borderId="26" xfId="0" applyFont="1" applyBorder="1" applyAlignment="1">
      <alignment vertical="center" shrinkToFit="1"/>
    </xf>
    <xf numFmtId="0" fontId="5" fillId="0" borderId="27" xfId="0" applyFont="1" applyBorder="1" applyAlignment="1">
      <alignment vertical="center" shrinkToFit="1"/>
    </xf>
    <xf numFmtId="176" fontId="18" fillId="2" borderId="41" xfId="0" applyNumberFormat="1" applyFont="1" applyFill="1" applyBorder="1" applyAlignment="1">
      <alignment horizontal="center" vertical="center" shrinkToFit="1"/>
    </xf>
    <xf numFmtId="176" fontId="18" fillId="0" borderId="51" xfId="0" applyNumberFormat="1" applyFont="1" applyBorder="1" applyAlignment="1">
      <alignment horizontal="center" vertical="center" shrinkToFit="1"/>
    </xf>
    <xf numFmtId="0" fontId="13" fillId="2" borderId="25" xfId="0" applyFont="1" applyFill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/>
    </xf>
    <xf numFmtId="0" fontId="12" fillId="2" borderId="22" xfId="0" applyFont="1" applyFill="1" applyBorder="1" applyAlignment="1">
      <alignment horizontal="center" vertical="center" shrinkToFit="1"/>
    </xf>
    <xf numFmtId="0" fontId="12" fillId="2" borderId="23" xfId="0" applyFont="1" applyFill="1" applyBorder="1" applyAlignment="1">
      <alignment horizontal="center" vertical="center" shrinkToFit="1"/>
    </xf>
    <xf numFmtId="0" fontId="5" fillId="2" borderId="23" xfId="0" applyFont="1" applyFill="1" applyBorder="1" applyAlignment="1">
      <alignment horizontal="center" vertical="center" shrinkToFit="1"/>
    </xf>
    <xf numFmtId="0" fontId="5" fillId="0" borderId="30" xfId="0" applyFont="1" applyBorder="1" applyAlignment="1">
      <alignment horizontal="center" vertical="center" shrinkToFit="1"/>
    </xf>
    <xf numFmtId="0" fontId="5" fillId="0" borderId="23" xfId="0" applyFont="1" applyBorder="1" applyAlignment="1">
      <alignment horizontal="center" vertical="center" shrinkToFit="1"/>
    </xf>
    <xf numFmtId="0" fontId="5" fillId="5" borderId="23" xfId="0" applyFont="1" applyFill="1" applyBorder="1" applyAlignment="1">
      <alignment horizontal="center" vertical="center" shrinkToFit="1"/>
    </xf>
    <xf numFmtId="0" fontId="5" fillId="3" borderId="23" xfId="0" applyFont="1" applyFill="1" applyBorder="1" applyAlignment="1">
      <alignment horizontal="center" vertical="center" shrinkToFit="1"/>
    </xf>
    <xf numFmtId="176" fontId="18" fillId="0" borderId="46" xfId="0" applyNumberFormat="1" applyFont="1" applyBorder="1" applyAlignment="1">
      <alignment horizontal="center" vertical="center" shrinkToFit="1"/>
    </xf>
    <xf numFmtId="176" fontId="18" fillId="0" borderId="54" xfId="0" applyNumberFormat="1" applyFont="1" applyBorder="1" applyAlignment="1">
      <alignment horizontal="center" vertical="center" shrinkToFit="1"/>
    </xf>
    <xf numFmtId="0" fontId="5" fillId="3" borderId="28" xfId="0" applyFont="1" applyFill="1" applyBorder="1" applyAlignment="1">
      <alignment horizontal="center" vertical="center" shrinkToFit="1"/>
    </xf>
    <xf numFmtId="176" fontId="18" fillId="0" borderId="45" xfId="0" applyNumberFormat="1" applyFont="1" applyBorder="1" applyAlignment="1">
      <alignment horizontal="center" vertical="center" shrinkToFit="1"/>
    </xf>
    <xf numFmtId="176" fontId="18" fillId="0" borderId="39" xfId="0" applyNumberFormat="1" applyFont="1" applyBorder="1" applyAlignment="1">
      <alignment horizontal="center" vertical="center" shrinkToFit="1"/>
    </xf>
    <xf numFmtId="176" fontId="18" fillId="0" borderId="53" xfId="0" applyNumberFormat="1" applyFont="1" applyBorder="1" applyAlignment="1">
      <alignment horizontal="center" vertical="center" shrinkToFit="1"/>
    </xf>
    <xf numFmtId="0" fontId="5" fillId="6" borderId="26" xfId="0" applyFont="1" applyFill="1" applyBorder="1" applyAlignment="1">
      <alignment horizontal="center" vertical="center" shrinkToFit="1"/>
    </xf>
    <xf numFmtId="0" fontId="5" fillId="6" borderId="25" xfId="0" applyFont="1" applyFill="1" applyBorder="1" applyAlignment="1">
      <alignment horizontal="center" vertical="center" shrinkToFit="1"/>
    </xf>
    <xf numFmtId="0" fontId="5" fillId="6" borderId="18" xfId="0" applyFont="1" applyFill="1" applyBorder="1" applyAlignment="1">
      <alignment horizontal="center" vertical="center" shrinkToFit="1"/>
    </xf>
    <xf numFmtId="0" fontId="5" fillId="6" borderId="27" xfId="0" applyFont="1" applyFill="1" applyBorder="1" applyAlignment="1">
      <alignment horizontal="center" vertical="center" shrinkToFit="1"/>
    </xf>
    <xf numFmtId="176" fontId="18" fillId="2" borderId="55" xfId="0" applyNumberFormat="1" applyFont="1" applyFill="1" applyBorder="1" applyAlignment="1">
      <alignment horizontal="center" vertical="center" shrinkToFit="1"/>
    </xf>
    <xf numFmtId="176" fontId="18" fillId="2" borderId="51" xfId="0" applyNumberFormat="1" applyFont="1" applyFill="1" applyBorder="1" applyAlignment="1">
      <alignment horizontal="center" vertical="center" shrinkToFit="1"/>
    </xf>
    <xf numFmtId="176" fontId="18" fillId="2" borderId="59" xfId="0" applyNumberFormat="1" applyFont="1" applyFill="1" applyBorder="1" applyAlignment="1">
      <alignment horizontal="center" vertical="center" shrinkToFit="1"/>
    </xf>
    <xf numFmtId="0" fontId="13" fillId="3" borderId="25" xfId="0" applyFont="1" applyFill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 wrapText="1" shrinkToFit="1"/>
    </xf>
    <xf numFmtId="0" fontId="17" fillId="0" borderId="27" xfId="0" applyFont="1" applyBorder="1" applyAlignment="1">
      <alignment horizontal="center" vertical="center"/>
    </xf>
    <xf numFmtId="0" fontId="5" fillId="4" borderId="23" xfId="0" applyFont="1" applyFill="1" applyBorder="1" applyAlignment="1">
      <alignment horizontal="center" vertical="center" shrinkToFit="1"/>
    </xf>
    <xf numFmtId="0" fontId="5" fillId="4" borderId="26" xfId="0" applyFont="1" applyFill="1" applyBorder="1" applyAlignment="1">
      <alignment horizontal="center" vertical="center" shrinkToFit="1"/>
    </xf>
    <xf numFmtId="0" fontId="5" fillId="4" borderId="25" xfId="0" applyFont="1" applyFill="1" applyBorder="1" applyAlignment="1">
      <alignment horizontal="center" vertical="center" shrinkToFit="1"/>
    </xf>
    <xf numFmtId="0" fontId="5" fillId="4" borderId="18" xfId="0" applyFont="1" applyFill="1" applyBorder="1" applyAlignment="1">
      <alignment horizontal="center" vertical="center" shrinkToFit="1"/>
    </xf>
    <xf numFmtId="0" fontId="5" fillId="4" borderId="27" xfId="0" applyFont="1" applyFill="1" applyBorder="1" applyAlignment="1">
      <alignment horizontal="center" vertical="center" shrinkToFit="1"/>
    </xf>
    <xf numFmtId="0" fontId="12" fillId="4" borderId="23" xfId="0" applyFont="1" applyFill="1" applyBorder="1" applyAlignment="1">
      <alignment horizontal="center" vertical="center" shrinkToFit="1"/>
    </xf>
    <xf numFmtId="0" fontId="12" fillId="4" borderId="26" xfId="0" applyFont="1" applyFill="1" applyBorder="1" applyAlignment="1">
      <alignment horizontal="center" vertical="center" shrinkToFit="1"/>
    </xf>
    <xf numFmtId="0" fontId="12" fillId="4" borderId="21" xfId="0" applyFont="1" applyFill="1" applyBorder="1" applyAlignment="1">
      <alignment horizontal="center" vertical="center" shrinkToFit="1"/>
    </xf>
    <xf numFmtId="0" fontId="12" fillId="4" borderId="17" xfId="0" applyFont="1" applyFill="1" applyBorder="1" applyAlignment="1">
      <alignment horizontal="center" vertical="center" shrinkToFit="1"/>
    </xf>
    <xf numFmtId="0" fontId="12" fillId="4" borderId="22" xfId="0" applyFont="1" applyFill="1" applyBorder="1" applyAlignment="1">
      <alignment horizontal="center" vertical="center" shrinkToFit="1"/>
    </xf>
    <xf numFmtId="0" fontId="12" fillId="4" borderId="28" xfId="0" applyFont="1" applyFill="1" applyBorder="1" applyAlignment="1">
      <alignment horizontal="center" vertical="center" shrinkToFit="1"/>
    </xf>
    <xf numFmtId="0" fontId="5" fillId="4" borderId="21" xfId="0" applyFont="1" applyFill="1" applyBorder="1" applyAlignment="1">
      <alignment horizontal="center" vertical="center" shrinkToFit="1"/>
    </xf>
    <xf numFmtId="0" fontId="5" fillId="4" borderId="17" xfId="0" applyFont="1" applyFill="1" applyBorder="1" applyAlignment="1">
      <alignment horizontal="center" vertical="center" shrinkToFit="1"/>
    </xf>
    <xf numFmtId="0" fontId="13" fillId="4" borderId="25" xfId="0" applyFont="1" applyFill="1" applyBorder="1" applyAlignment="1">
      <alignment horizontal="center" vertical="center" wrapText="1"/>
    </xf>
    <xf numFmtId="0" fontId="17" fillId="4" borderId="26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13" fillId="4" borderId="25" xfId="0" applyFont="1" applyFill="1" applyBorder="1" applyAlignment="1">
      <alignment horizontal="center" vertical="center"/>
    </xf>
    <xf numFmtId="0" fontId="10" fillId="0" borderId="42" xfId="0" applyFont="1" applyBorder="1" applyAlignment="1">
      <alignment vertical="center" wrapText="1"/>
    </xf>
    <xf numFmtId="0" fontId="10" fillId="0" borderId="43" xfId="0" applyFont="1" applyBorder="1" applyAlignment="1">
      <alignment vertical="center" wrapText="1"/>
    </xf>
    <xf numFmtId="0" fontId="10" fillId="0" borderId="44" xfId="0" applyFont="1" applyBorder="1" applyAlignment="1">
      <alignment vertical="center" wrapText="1"/>
    </xf>
    <xf numFmtId="0" fontId="5" fillId="4" borderId="30" xfId="0" applyFont="1" applyFill="1" applyBorder="1" applyAlignment="1">
      <alignment horizontal="center" vertical="center" shrinkToFit="1"/>
    </xf>
    <xf numFmtId="0" fontId="5" fillId="4" borderId="22" xfId="0" applyFont="1" applyFill="1" applyBorder="1" applyAlignment="1">
      <alignment horizontal="center" vertical="center" shrinkToFit="1"/>
    </xf>
    <xf numFmtId="0" fontId="17" fillId="4" borderId="27" xfId="0" applyFont="1" applyFill="1" applyBorder="1" applyAlignment="1">
      <alignment horizontal="center" vertical="center"/>
    </xf>
    <xf numFmtId="0" fontId="17" fillId="2" borderId="26" xfId="0" applyFont="1" applyFill="1" applyBorder="1" applyAlignment="1">
      <alignment horizontal="center" vertical="center"/>
    </xf>
    <xf numFmtId="0" fontId="5" fillId="7" borderId="23" xfId="0" applyFont="1" applyFill="1" applyBorder="1" applyAlignment="1">
      <alignment horizontal="center" vertical="center" shrinkToFit="1"/>
    </xf>
    <xf numFmtId="0" fontId="5" fillId="7" borderId="26" xfId="0" applyFont="1" applyFill="1" applyBorder="1" applyAlignment="1">
      <alignment horizontal="center" vertical="center" shrinkToFit="1"/>
    </xf>
    <xf numFmtId="0" fontId="5" fillId="7" borderId="25" xfId="0" applyFont="1" applyFill="1" applyBorder="1" applyAlignment="1">
      <alignment horizontal="center" vertical="center" shrinkToFit="1"/>
    </xf>
    <xf numFmtId="0" fontId="5" fillId="7" borderId="18" xfId="0" applyFont="1" applyFill="1" applyBorder="1" applyAlignment="1">
      <alignment horizontal="center" vertical="center" shrinkToFit="1"/>
    </xf>
    <xf numFmtId="0" fontId="5" fillId="7" borderId="27" xfId="0" applyFont="1" applyFill="1" applyBorder="1" applyAlignment="1">
      <alignment horizontal="center" vertical="center" shrinkToFit="1"/>
    </xf>
    <xf numFmtId="0" fontId="2" fillId="7" borderId="25" xfId="0" applyFont="1" applyFill="1" applyBorder="1" applyAlignment="1">
      <alignment horizontal="center" vertical="center"/>
    </xf>
    <xf numFmtId="0" fontId="17" fillId="7" borderId="26" xfId="0" applyFont="1" applyFill="1" applyBorder="1" applyAlignment="1">
      <alignment horizontal="center" vertical="center"/>
    </xf>
    <xf numFmtId="0" fontId="13" fillId="7" borderId="19" xfId="0" applyFont="1" applyFill="1" applyBorder="1" applyAlignment="1">
      <alignment horizontal="center" vertical="center" wrapText="1" shrinkToFit="1"/>
    </xf>
    <xf numFmtId="0" fontId="17" fillId="7" borderId="27" xfId="0" applyFont="1" applyFill="1" applyBorder="1" applyAlignment="1">
      <alignment horizontal="center" vertical="center"/>
    </xf>
    <xf numFmtId="0" fontId="5" fillId="7" borderId="21" xfId="0" applyFont="1" applyFill="1" applyBorder="1" applyAlignment="1">
      <alignment horizontal="center" vertical="center" shrinkToFit="1"/>
    </xf>
    <xf numFmtId="0" fontId="5" fillId="7" borderId="17" xfId="0" applyFont="1" applyFill="1" applyBorder="1" applyAlignment="1">
      <alignment horizontal="center" vertical="center" shrinkToFit="1"/>
    </xf>
    <xf numFmtId="0" fontId="13" fillId="0" borderId="25" xfId="0" applyFont="1" applyBorder="1" applyAlignment="1">
      <alignment vertical="center" shrinkToFit="1"/>
    </xf>
    <xf numFmtId="0" fontId="13" fillId="0" borderId="18" xfId="0" applyFont="1" applyBorder="1" applyAlignment="1">
      <alignment vertical="center" shrinkToFit="1"/>
    </xf>
    <xf numFmtId="0" fontId="0" fillId="0" borderId="6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6" fillId="3" borderId="26" xfId="0" applyFont="1" applyFill="1" applyBorder="1" applyAlignment="1">
      <alignment horizontal="center" vertical="center"/>
    </xf>
    <xf numFmtId="0" fontId="16" fillId="5" borderId="26" xfId="0" applyFont="1" applyFill="1" applyBorder="1" applyAlignment="1">
      <alignment horizontal="center" vertical="center"/>
    </xf>
    <xf numFmtId="0" fontId="16" fillId="2" borderId="26" xfId="0" applyFont="1" applyFill="1" applyBorder="1" applyAlignment="1">
      <alignment horizontal="center" vertical="center"/>
    </xf>
    <xf numFmtId="58" fontId="4" fillId="0" borderId="25" xfId="0" applyNumberFormat="1" applyFont="1" applyBorder="1" applyAlignment="1">
      <alignment horizontal="center" vertical="center" wrapText="1"/>
    </xf>
    <xf numFmtId="0" fontId="20" fillId="3" borderId="26" xfId="0" applyFont="1" applyFill="1" applyBorder="1" applyAlignment="1">
      <alignment horizontal="center" vertical="center"/>
    </xf>
    <xf numFmtId="0" fontId="4" fillId="0" borderId="23" xfId="0" applyFont="1" applyBorder="1" applyAlignment="1">
      <alignment horizontal="center" vertical="center" shrinkToFit="1"/>
    </xf>
    <xf numFmtId="0" fontId="4" fillId="0" borderId="26" xfId="0" applyFont="1" applyBorder="1" applyAlignment="1">
      <alignment horizontal="center" vertical="center" shrinkToFit="1"/>
    </xf>
    <xf numFmtId="0" fontId="4" fillId="0" borderId="25" xfId="0" applyFont="1" applyBorder="1" applyAlignment="1">
      <alignment horizontal="center" vertical="center" shrinkToFit="1"/>
    </xf>
    <xf numFmtId="0" fontId="4" fillId="0" borderId="22" xfId="0" applyFont="1" applyBorder="1" applyAlignment="1">
      <alignment horizontal="center" vertical="center" shrinkToFit="1"/>
    </xf>
    <xf numFmtId="0" fontId="4" fillId="0" borderId="28" xfId="0" applyFont="1" applyBorder="1" applyAlignment="1">
      <alignment horizontal="center" vertical="center" shrinkToFit="1"/>
    </xf>
    <xf numFmtId="0" fontId="16" fillId="0" borderId="26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 shrinkToFit="1"/>
    </xf>
    <xf numFmtId="0" fontId="12" fillId="0" borderId="71" xfId="0" applyFont="1" applyBorder="1" applyAlignment="1">
      <alignment horizontal="center" vertical="center" shrinkToFit="1"/>
    </xf>
    <xf numFmtId="0" fontId="4" fillId="0" borderId="27" xfId="0" applyFont="1" applyBorder="1" applyAlignment="1">
      <alignment horizontal="center" vertical="center" shrinkToFit="1"/>
    </xf>
    <xf numFmtId="0" fontId="10" fillId="0" borderId="73" xfId="0" applyFont="1" applyBorder="1" applyAlignment="1">
      <alignment vertical="center" wrapText="1"/>
    </xf>
    <xf numFmtId="0" fontId="10" fillId="0" borderId="42" xfId="0" applyFont="1" applyBorder="1" applyAlignment="1">
      <alignment horizontal="center" vertical="center" wrapText="1"/>
    </xf>
    <xf numFmtId="0" fontId="10" fillId="0" borderId="43" xfId="0" applyFont="1" applyBorder="1" applyAlignment="1">
      <alignment horizontal="center" vertical="center" wrapText="1"/>
    </xf>
    <xf numFmtId="0" fontId="10" fillId="0" borderId="44" xfId="0" applyFont="1" applyBorder="1" applyAlignment="1">
      <alignment horizontal="center" vertical="center" wrapText="1"/>
    </xf>
    <xf numFmtId="0" fontId="10" fillId="0" borderId="73" xfId="0" applyFont="1" applyBorder="1" applyAlignment="1">
      <alignment horizontal="center" vertical="center" wrapText="1"/>
    </xf>
    <xf numFmtId="0" fontId="15" fillId="0" borderId="36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9" fillId="0" borderId="26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10" fillId="0" borderId="24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 wrapText="1"/>
    </xf>
    <xf numFmtId="0" fontId="10" fillId="0" borderId="14" xfId="0" applyFont="1" applyBorder="1" applyAlignment="1">
      <alignment horizontal="center" vertical="center" wrapText="1"/>
    </xf>
    <xf numFmtId="0" fontId="10" fillId="0" borderId="21" xfId="0" applyFont="1" applyBorder="1" applyAlignment="1">
      <alignment horizontal="center" vertical="center" wrapText="1"/>
    </xf>
    <xf numFmtId="0" fontId="10" fillId="0" borderId="68" xfId="0" applyFont="1" applyBorder="1" applyAlignment="1">
      <alignment horizontal="center" vertical="center" wrapText="1"/>
    </xf>
    <xf numFmtId="0" fontId="10" fillId="0" borderId="69" xfId="0" applyFont="1" applyBorder="1" applyAlignment="1">
      <alignment horizontal="center" vertical="center" wrapText="1"/>
    </xf>
    <xf numFmtId="0" fontId="10" fillId="0" borderId="70" xfId="0" applyFont="1" applyBorder="1" applyAlignment="1">
      <alignment horizontal="center" vertical="center" wrapText="1"/>
    </xf>
    <xf numFmtId="0" fontId="10" fillId="0" borderId="23" xfId="0" applyFont="1" applyBorder="1" applyAlignment="1">
      <alignment horizontal="center" vertical="center" shrinkToFit="1"/>
    </xf>
    <xf numFmtId="0" fontId="10" fillId="0" borderId="26" xfId="0" applyFont="1" applyBorder="1" applyAlignment="1">
      <alignment horizontal="center" vertical="center" shrinkToFit="1"/>
    </xf>
    <xf numFmtId="0" fontId="10" fillId="3" borderId="23" xfId="0" applyFont="1" applyFill="1" applyBorder="1" applyAlignment="1">
      <alignment horizontal="center" vertical="center" shrinkToFit="1"/>
    </xf>
    <xf numFmtId="0" fontId="10" fillId="3" borderId="26" xfId="0" applyFont="1" applyFill="1" applyBorder="1" applyAlignment="1">
      <alignment horizontal="center" vertical="center" shrinkToFit="1"/>
    </xf>
    <xf numFmtId="0" fontId="2" fillId="3" borderId="18" xfId="0" applyFont="1" applyFill="1" applyBorder="1" applyAlignment="1">
      <alignment horizontal="center" vertical="center" shrinkToFit="1"/>
    </xf>
    <xf numFmtId="0" fontId="2" fillId="3" borderId="7" xfId="0" applyFont="1" applyFill="1" applyBorder="1" applyAlignment="1">
      <alignment horizontal="center" vertical="center" shrinkToFit="1"/>
    </xf>
    <xf numFmtId="0" fontId="0" fillId="0" borderId="62" xfId="0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176" fontId="13" fillId="0" borderId="31" xfId="0" applyNumberFormat="1" applyFont="1" applyBorder="1" applyAlignment="1">
      <alignment horizontal="center" vertical="center" shrinkToFit="1"/>
    </xf>
    <xf numFmtId="176" fontId="13" fillId="0" borderId="52" xfId="0" applyNumberFormat="1" applyFont="1" applyBorder="1" applyAlignment="1">
      <alignment horizontal="center" vertical="center" shrinkToFit="1"/>
    </xf>
    <xf numFmtId="176" fontId="13" fillId="0" borderId="57" xfId="0" applyNumberFormat="1" applyFont="1" applyBorder="1" applyAlignment="1">
      <alignment horizontal="center" vertical="center" shrinkToFit="1"/>
    </xf>
    <xf numFmtId="0" fontId="2" fillId="0" borderId="1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 shrinkToFit="1"/>
    </xf>
    <xf numFmtId="0" fontId="12" fillId="0" borderId="18" xfId="0" applyFont="1" applyBorder="1" applyAlignment="1">
      <alignment horizontal="center" vertical="center" shrinkToFit="1"/>
    </xf>
    <xf numFmtId="0" fontId="10" fillId="0" borderId="18" xfId="0" applyFont="1" applyBorder="1" applyAlignment="1">
      <alignment horizontal="center" vertical="center" shrinkToFit="1"/>
    </xf>
    <xf numFmtId="0" fontId="10" fillId="0" borderId="7" xfId="0" applyFont="1" applyBorder="1" applyAlignment="1">
      <alignment horizontal="center" vertical="center" shrinkToFit="1"/>
    </xf>
    <xf numFmtId="0" fontId="2" fillId="0" borderId="15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2" fillId="0" borderId="25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 shrinkToFit="1"/>
    </xf>
    <xf numFmtId="0" fontId="4" fillId="0" borderId="18" xfId="0" applyFont="1" applyBorder="1" applyAlignment="1">
      <alignment horizontal="center" vertical="center" shrinkToFit="1"/>
    </xf>
    <xf numFmtId="0" fontId="10" fillId="0" borderId="25" xfId="0" applyFont="1" applyBorder="1" applyAlignment="1">
      <alignment horizontal="center" vertical="center" shrinkToFit="1"/>
    </xf>
    <xf numFmtId="176" fontId="13" fillId="0" borderId="37" xfId="0" applyNumberFormat="1" applyFont="1" applyBorder="1" applyAlignment="1">
      <alignment horizontal="center" vertical="center" shrinkToFit="1"/>
    </xf>
    <xf numFmtId="176" fontId="13" fillId="0" borderId="38" xfId="0" applyNumberFormat="1" applyFont="1" applyBorder="1" applyAlignment="1">
      <alignment horizontal="center" vertical="center" shrinkToFit="1"/>
    </xf>
    <xf numFmtId="176" fontId="13" fillId="0" borderId="58" xfId="0" applyNumberFormat="1" applyFont="1" applyBorder="1" applyAlignment="1">
      <alignment horizontal="center" vertical="center" shrinkToFit="1"/>
    </xf>
    <xf numFmtId="0" fontId="10" fillId="3" borderId="25" xfId="0" applyFont="1" applyFill="1" applyBorder="1" applyAlignment="1">
      <alignment horizontal="center" vertical="center" shrinkToFit="1"/>
    </xf>
    <xf numFmtId="0" fontId="10" fillId="3" borderId="18" xfId="0" applyFont="1" applyFill="1" applyBorder="1" applyAlignment="1">
      <alignment horizontal="center" vertical="center" shrinkToFit="1"/>
    </xf>
    <xf numFmtId="0" fontId="10" fillId="0" borderId="64" xfId="0" applyFont="1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0" fontId="5" fillId="0" borderId="25" xfId="0" applyFont="1" applyBorder="1" applyAlignment="1">
      <alignment horizontal="center" vertical="center" shrinkToFit="1"/>
    </xf>
    <xf numFmtId="0" fontId="5" fillId="0" borderId="18" xfId="0" applyFont="1" applyBorder="1" applyAlignment="1">
      <alignment horizontal="center" vertical="center" shrinkToFit="1"/>
    </xf>
    <xf numFmtId="0" fontId="12" fillId="0" borderId="26" xfId="0" applyFont="1" applyBorder="1" applyAlignment="1">
      <alignment horizontal="center" vertical="center" shrinkToFit="1"/>
    </xf>
    <xf numFmtId="176" fontId="13" fillId="0" borderId="60" xfId="0" applyNumberFormat="1" applyFont="1" applyBorder="1" applyAlignment="1">
      <alignment horizontal="center" vertical="center" shrinkToFit="1"/>
    </xf>
    <xf numFmtId="0" fontId="10" fillId="0" borderId="63" xfId="0" applyFont="1" applyBorder="1" applyAlignment="1">
      <alignment horizontal="center" vertical="center" wrapText="1"/>
    </xf>
    <xf numFmtId="0" fontId="10" fillId="0" borderId="64" xfId="0" applyFont="1" applyBorder="1" applyAlignment="1">
      <alignment horizontal="center" vertical="center" wrapText="1"/>
    </xf>
    <xf numFmtId="0" fontId="10" fillId="0" borderId="65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 shrinkToFit="1"/>
    </xf>
    <xf numFmtId="0" fontId="17" fillId="0" borderId="64" xfId="0" applyFont="1" applyBorder="1" applyAlignment="1">
      <alignment horizontal="center" vertical="center" wrapText="1"/>
    </xf>
    <xf numFmtId="0" fontId="17" fillId="0" borderId="65" xfId="0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10" fillId="3" borderId="27" xfId="0" applyFont="1" applyFill="1" applyBorder="1" applyAlignment="1">
      <alignment horizontal="center" vertical="center" shrinkToFit="1"/>
    </xf>
    <xf numFmtId="0" fontId="2" fillId="3" borderId="10" xfId="0" applyFont="1" applyFill="1" applyBorder="1" applyAlignment="1">
      <alignment horizontal="center" vertical="center" shrinkToFit="1"/>
    </xf>
    <xf numFmtId="176" fontId="13" fillId="0" borderId="42" xfId="0" applyNumberFormat="1" applyFont="1" applyBorder="1" applyAlignment="1">
      <alignment horizontal="center" vertical="center" shrinkToFit="1"/>
    </xf>
    <xf numFmtId="176" fontId="13" fillId="0" borderId="43" xfId="0" applyNumberFormat="1" applyFont="1" applyBorder="1" applyAlignment="1">
      <alignment horizontal="center" vertical="center" shrinkToFit="1"/>
    </xf>
    <xf numFmtId="176" fontId="13" fillId="0" borderId="61" xfId="0" applyNumberFormat="1" applyFont="1" applyBorder="1" applyAlignment="1">
      <alignment horizontal="center" vertical="center" shrinkToFit="1"/>
    </xf>
    <xf numFmtId="0" fontId="10" fillId="0" borderId="0" xfId="0" applyFont="1" applyAlignment="1">
      <alignment horizontal="right" vertical="center"/>
    </xf>
    <xf numFmtId="0" fontId="0" fillId="0" borderId="64" xfId="0" applyBorder="1" applyAlignment="1">
      <alignment horizontal="center" vertical="center"/>
    </xf>
    <xf numFmtId="0" fontId="2" fillId="0" borderId="72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12" fillId="0" borderId="27" xfId="0" applyFont="1" applyBorder="1" applyAlignment="1">
      <alignment horizontal="center" vertical="center" shrinkToFit="1"/>
    </xf>
    <xf numFmtId="0" fontId="10" fillId="0" borderId="10" xfId="0" applyFont="1" applyBorder="1" applyAlignment="1">
      <alignment horizontal="center" vertical="center" shrinkToFit="1"/>
    </xf>
    <xf numFmtId="0" fontId="10" fillId="0" borderId="27" xfId="0" applyFont="1" applyBorder="1" applyAlignment="1">
      <alignment horizontal="center" vertical="center" shrinkToFit="1"/>
    </xf>
    <xf numFmtId="0" fontId="5" fillId="4" borderId="25" xfId="0" applyFont="1" applyFill="1" applyBorder="1" applyAlignment="1">
      <alignment horizontal="center" vertical="center" shrinkToFit="1"/>
    </xf>
    <xf numFmtId="0" fontId="5" fillId="4" borderId="18" xfId="0" applyFont="1" applyFill="1" applyBorder="1" applyAlignment="1">
      <alignment horizontal="center" vertical="center" shrinkToFit="1"/>
    </xf>
    <xf numFmtId="0" fontId="0" fillId="0" borderId="66" xfId="0" applyBorder="1" applyAlignment="1">
      <alignment horizontal="center" vertical="center"/>
    </xf>
    <xf numFmtId="0" fontId="5" fillId="0" borderId="27" xfId="0" applyFont="1" applyBorder="1" applyAlignment="1">
      <alignment horizontal="center" vertical="center" shrinkToFit="1"/>
    </xf>
    <xf numFmtId="0" fontId="5" fillId="4" borderId="7" xfId="0" applyFont="1" applyFill="1" applyBorder="1" applyAlignment="1">
      <alignment horizontal="center" vertical="center" shrinkToFit="1"/>
    </xf>
    <xf numFmtId="0" fontId="5" fillId="4" borderId="26" xfId="0" applyFont="1" applyFill="1" applyBorder="1" applyAlignment="1">
      <alignment horizontal="center" vertical="center" shrinkToFit="1"/>
    </xf>
    <xf numFmtId="0" fontId="5" fillId="4" borderId="27" xfId="0" applyFont="1" applyFill="1" applyBorder="1" applyAlignment="1">
      <alignment horizontal="center" vertical="center" shrinkToFit="1"/>
    </xf>
    <xf numFmtId="0" fontId="2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shrinkToFit="1"/>
    </xf>
    <xf numFmtId="0" fontId="5" fillId="0" borderId="21" xfId="0" applyFont="1" applyBorder="1" applyAlignment="1">
      <alignment horizontal="center" vertical="center" shrinkToFit="1"/>
    </xf>
    <xf numFmtId="0" fontId="5" fillId="0" borderId="17" xfId="0" applyFont="1" applyBorder="1" applyAlignment="1">
      <alignment horizontal="center" vertical="center" shrinkToFit="1"/>
    </xf>
    <xf numFmtId="0" fontId="5" fillId="2" borderId="25" xfId="0" applyFont="1" applyFill="1" applyBorder="1" applyAlignment="1">
      <alignment horizontal="center" vertical="center" shrinkToFit="1"/>
    </xf>
    <xf numFmtId="0" fontId="5" fillId="2" borderId="18" xfId="0" applyFont="1" applyFill="1" applyBorder="1" applyAlignment="1">
      <alignment horizontal="center" vertical="center" shrinkToFit="1"/>
    </xf>
    <xf numFmtId="0" fontId="5" fillId="2" borderId="26" xfId="0" applyFont="1" applyFill="1" applyBorder="1" applyAlignment="1">
      <alignment horizontal="center" vertical="center" shrinkToFit="1"/>
    </xf>
    <xf numFmtId="0" fontId="10" fillId="0" borderId="65" xfId="0" applyFont="1" applyBorder="1" applyAlignment="1">
      <alignment horizontal="center" vertical="center"/>
    </xf>
    <xf numFmtId="0" fontId="17" fillId="0" borderId="63" xfId="0" applyFont="1" applyBorder="1" applyAlignment="1">
      <alignment horizontal="center" vertical="center" wrapText="1"/>
    </xf>
    <xf numFmtId="0" fontId="5" fillId="4" borderId="23" xfId="0" applyFont="1" applyFill="1" applyBorder="1" applyAlignment="1">
      <alignment horizontal="center" vertical="center" shrinkToFit="1"/>
    </xf>
    <xf numFmtId="0" fontId="5" fillId="0" borderId="23" xfId="0" applyFont="1" applyBorder="1" applyAlignment="1">
      <alignment horizontal="center" vertical="center" shrinkToFit="1"/>
    </xf>
    <xf numFmtId="0" fontId="2" fillId="0" borderId="26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 wrapText="1"/>
    </xf>
    <xf numFmtId="0" fontId="10" fillId="0" borderId="22" xfId="0" applyFont="1" applyBorder="1" applyAlignment="1">
      <alignment horizontal="center" vertical="center" wrapText="1"/>
    </xf>
    <xf numFmtId="0" fontId="10" fillId="0" borderId="53" xfId="0" applyFont="1" applyBorder="1" applyAlignment="1">
      <alignment horizontal="center" vertical="center" wrapText="1"/>
    </xf>
    <xf numFmtId="0" fontId="10" fillId="0" borderId="54" xfId="0" applyFont="1" applyBorder="1" applyAlignment="1">
      <alignment horizontal="center" vertical="center" wrapText="1"/>
    </xf>
    <xf numFmtId="0" fontId="10" fillId="0" borderId="33" xfId="0" applyFont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0" fontId="10" fillId="0" borderId="47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center" vertical="center" wrapText="1"/>
    </xf>
    <xf numFmtId="0" fontId="10" fillId="0" borderId="48" xfId="0" applyFont="1" applyBorder="1" applyAlignment="1">
      <alignment horizontal="center" vertical="center" wrapText="1"/>
    </xf>
    <xf numFmtId="0" fontId="10" fillId="0" borderId="52" xfId="0" applyFont="1" applyBorder="1" applyAlignment="1">
      <alignment horizontal="center" vertical="center" wrapText="1"/>
    </xf>
    <xf numFmtId="0" fontId="10" fillId="0" borderId="49" xfId="0" applyFont="1" applyBorder="1" applyAlignment="1">
      <alignment horizontal="center" vertical="center" wrapText="1"/>
    </xf>
    <xf numFmtId="0" fontId="10" fillId="0" borderId="32" xfId="0" applyFont="1" applyBorder="1" applyAlignment="1">
      <alignment horizontal="center" vertical="center" wrapText="1"/>
    </xf>
    <xf numFmtId="0" fontId="5" fillId="6" borderId="26" xfId="0" applyFont="1" applyFill="1" applyBorder="1" applyAlignment="1">
      <alignment horizontal="center" vertical="center" shrinkToFit="1"/>
    </xf>
    <xf numFmtId="0" fontId="5" fillId="6" borderId="27" xfId="0" applyFont="1" applyFill="1" applyBorder="1" applyAlignment="1">
      <alignment horizontal="center" vertical="center" shrinkToFit="1"/>
    </xf>
    <xf numFmtId="0" fontId="5" fillId="6" borderId="25" xfId="0" applyFont="1" applyFill="1" applyBorder="1" applyAlignment="1">
      <alignment horizontal="center" vertical="center" shrinkToFit="1"/>
    </xf>
    <xf numFmtId="0" fontId="5" fillId="6" borderId="18" xfId="0" applyFont="1" applyFill="1" applyBorder="1" applyAlignment="1">
      <alignment horizontal="center" vertical="center" shrinkToFit="1"/>
    </xf>
    <xf numFmtId="0" fontId="5" fillId="6" borderId="7" xfId="0" applyFont="1" applyFill="1" applyBorder="1" applyAlignment="1">
      <alignment horizontal="center" vertical="center" shrinkToFit="1"/>
    </xf>
    <xf numFmtId="0" fontId="5" fillId="0" borderId="5" xfId="0" applyFont="1" applyBorder="1" applyAlignment="1">
      <alignment horizontal="center" vertical="center" shrinkToFit="1"/>
    </xf>
    <xf numFmtId="0" fontId="5" fillId="6" borderId="23" xfId="0" applyFont="1" applyFill="1" applyBorder="1" applyAlignment="1">
      <alignment horizontal="center" vertical="center" shrinkToFit="1"/>
    </xf>
    <xf numFmtId="0" fontId="5" fillId="0" borderId="19" xfId="0" applyFont="1" applyBorder="1" applyAlignment="1">
      <alignment horizontal="center" vertical="center" shrinkToFit="1"/>
    </xf>
    <xf numFmtId="0" fontId="5" fillId="0" borderId="16" xfId="0" applyFont="1" applyBorder="1" applyAlignment="1">
      <alignment horizontal="center" vertical="center" shrinkToFit="1"/>
    </xf>
    <xf numFmtId="0" fontId="2" fillId="0" borderId="29" xfId="0" applyFont="1" applyBorder="1" applyAlignment="1">
      <alignment horizontal="center" vertical="center" wrapText="1"/>
    </xf>
    <xf numFmtId="0" fontId="2" fillId="0" borderId="67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shrinkToFit="1"/>
    </xf>
    <xf numFmtId="0" fontId="5" fillId="2" borderId="27" xfId="0" applyFont="1" applyFill="1" applyBorder="1" applyAlignment="1">
      <alignment horizontal="center" vertical="center" shrinkToFit="1"/>
    </xf>
    <xf numFmtId="0" fontId="5" fillId="7" borderId="23" xfId="0" applyFont="1" applyFill="1" applyBorder="1" applyAlignment="1">
      <alignment horizontal="center" vertical="center" shrinkToFit="1"/>
    </xf>
    <xf numFmtId="0" fontId="5" fillId="7" borderId="26" xfId="0" applyFont="1" applyFill="1" applyBorder="1" applyAlignment="1">
      <alignment horizontal="center" vertical="center" shrinkToFit="1"/>
    </xf>
    <xf numFmtId="0" fontId="5" fillId="2" borderId="23" xfId="0" applyFont="1" applyFill="1" applyBorder="1" applyAlignment="1">
      <alignment horizontal="center" vertical="center" shrinkToFit="1"/>
    </xf>
    <xf numFmtId="0" fontId="5" fillId="7" borderId="25" xfId="0" applyFont="1" applyFill="1" applyBorder="1" applyAlignment="1">
      <alignment horizontal="center" vertical="center" shrinkToFit="1"/>
    </xf>
    <xf numFmtId="0" fontId="5" fillId="7" borderId="18" xfId="0" applyFont="1" applyFill="1" applyBorder="1" applyAlignment="1">
      <alignment horizontal="center" vertical="center" shrinkToFit="1"/>
    </xf>
    <xf numFmtId="0" fontId="5" fillId="7" borderId="7" xfId="0" applyFont="1" applyFill="1" applyBorder="1" applyAlignment="1">
      <alignment horizontal="center" vertical="center" shrinkToFit="1"/>
    </xf>
    <xf numFmtId="0" fontId="19" fillId="0" borderId="64" xfId="0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 wrapText="1"/>
    </xf>
    <xf numFmtId="0" fontId="5" fillId="7" borderId="27" xfId="0" applyFont="1" applyFill="1" applyBorder="1" applyAlignment="1">
      <alignment horizontal="center" vertical="center" shrinkToFit="1"/>
    </xf>
    <xf numFmtId="0" fontId="5" fillId="5" borderId="25" xfId="0" applyFont="1" applyFill="1" applyBorder="1" applyAlignment="1">
      <alignment horizontal="center" vertical="center" shrinkToFit="1"/>
    </xf>
    <xf numFmtId="0" fontId="5" fillId="5" borderId="18" xfId="0" applyFont="1" applyFill="1" applyBorder="1" applyAlignment="1">
      <alignment horizontal="center" vertical="center" shrinkToFit="1"/>
    </xf>
    <xf numFmtId="0" fontId="12" fillId="5" borderId="23" xfId="0" applyFont="1" applyFill="1" applyBorder="1" applyAlignment="1">
      <alignment horizontal="center" vertical="center" shrinkToFit="1"/>
    </xf>
    <xf numFmtId="0" fontId="12" fillId="5" borderId="18" xfId="0" applyFont="1" applyFill="1" applyBorder="1" applyAlignment="1">
      <alignment horizontal="center" vertical="center" shrinkToFit="1"/>
    </xf>
    <xf numFmtId="0" fontId="12" fillId="2" borderId="23" xfId="0" applyFont="1" applyFill="1" applyBorder="1" applyAlignment="1">
      <alignment horizontal="center" vertical="center" shrinkToFit="1"/>
    </xf>
    <xf numFmtId="0" fontId="12" fillId="2" borderId="18" xfId="0" applyFont="1" applyFill="1" applyBorder="1" applyAlignment="1">
      <alignment horizontal="center" vertical="center" shrinkToFit="1"/>
    </xf>
    <xf numFmtId="0" fontId="5" fillId="3" borderId="25" xfId="0" applyFont="1" applyFill="1" applyBorder="1" applyAlignment="1">
      <alignment horizontal="center" vertical="center" shrinkToFit="1"/>
    </xf>
    <xf numFmtId="0" fontId="5" fillId="3" borderId="18" xfId="0" applyFont="1" applyFill="1" applyBorder="1" applyAlignment="1">
      <alignment horizontal="center" vertical="center" shrinkToFit="1"/>
    </xf>
    <xf numFmtId="0" fontId="12" fillId="5" borderId="26" xfId="0" applyFont="1" applyFill="1" applyBorder="1" applyAlignment="1">
      <alignment horizontal="center" vertical="center" shrinkToFit="1"/>
    </xf>
    <xf numFmtId="0" fontId="12" fillId="2" borderId="26" xfId="0" applyFont="1" applyFill="1" applyBorder="1" applyAlignment="1">
      <alignment horizontal="center" vertical="center" shrinkToFit="1"/>
    </xf>
    <xf numFmtId="0" fontId="5" fillId="5" borderId="26" xfId="0" applyFont="1" applyFill="1" applyBorder="1" applyAlignment="1">
      <alignment horizontal="center" vertical="center" shrinkToFit="1"/>
    </xf>
    <xf numFmtId="0" fontId="12" fillId="5" borderId="25" xfId="0" applyFont="1" applyFill="1" applyBorder="1" applyAlignment="1">
      <alignment horizontal="center" vertical="center" shrinkToFit="1"/>
    </xf>
    <xf numFmtId="0" fontId="12" fillId="2" borderId="25" xfId="0" applyFont="1" applyFill="1" applyBorder="1" applyAlignment="1">
      <alignment horizontal="center" vertical="center" shrinkToFit="1"/>
    </xf>
    <xf numFmtId="0" fontId="2" fillId="3" borderId="25" xfId="0" applyFont="1" applyFill="1" applyBorder="1" applyAlignment="1">
      <alignment horizontal="center" vertical="center" shrinkToFit="1"/>
    </xf>
    <xf numFmtId="0" fontId="21" fillId="0" borderId="30" xfId="0" applyFont="1" applyBorder="1" applyAlignment="1">
      <alignment horizontal="center" vertical="center"/>
    </xf>
    <xf numFmtId="0" fontId="21" fillId="0" borderId="23" xfId="0" applyFont="1" applyBorder="1" applyAlignment="1">
      <alignment horizontal="center" vertical="center"/>
    </xf>
    <xf numFmtId="0" fontId="14" fillId="0" borderId="62" xfId="0" applyFont="1" applyBorder="1" applyAlignment="1">
      <alignment horizontal="center" vertical="center" wrapText="1"/>
    </xf>
    <xf numFmtId="0" fontId="14" fillId="0" borderId="63" xfId="0" applyFont="1" applyBorder="1" applyAlignment="1">
      <alignment horizontal="center" vertical="center" wrapText="1"/>
    </xf>
    <xf numFmtId="0" fontId="12" fillId="0" borderId="22" xfId="0" applyFont="1" applyBorder="1" applyAlignment="1">
      <alignment horizontal="center" vertical="center" shrinkToFit="1"/>
    </xf>
    <xf numFmtId="0" fontId="3" fillId="0" borderId="0" xfId="0" applyFont="1" applyAlignment="1"/>
  </cellXfs>
  <cellStyles count="1">
    <cellStyle name="常规" xfId="0" builtinId="0"/>
  </cellStyles>
  <dxfs count="34">
    <dxf>
      <fill>
        <patternFill>
          <bgColor rgb="FFFFD7D7"/>
        </patternFill>
      </fill>
    </dxf>
    <dxf>
      <fill>
        <patternFill>
          <bgColor theme="0"/>
        </patternFill>
      </fill>
    </dxf>
    <dxf>
      <fill>
        <patternFill>
          <bgColor theme="2"/>
        </patternFill>
      </fill>
    </dxf>
    <dxf>
      <fill>
        <patternFill>
          <bgColor rgb="FFFFE7E7"/>
        </patternFill>
      </fill>
    </dxf>
    <dxf>
      <fill>
        <patternFill>
          <bgColor theme="2"/>
        </patternFill>
      </fill>
    </dxf>
    <dxf>
      <fill>
        <patternFill>
          <bgColor rgb="FFFFD7D7"/>
        </patternFill>
      </fill>
    </dxf>
    <dxf>
      <fill>
        <patternFill>
          <bgColor theme="0"/>
        </patternFill>
      </fill>
    </dxf>
    <dxf>
      <fill>
        <patternFill>
          <bgColor theme="2"/>
        </patternFill>
      </fill>
    </dxf>
    <dxf>
      <fill>
        <patternFill>
          <bgColor rgb="FFFFE7E7"/>
        </patternFill>
      </fill>
    </dxf>
    <dxf>
      <fill>
        <patternFill>
          <bgColor theme="2"/>
        </patternFill>
      </fill>
    </dxf>
    <dxf>
      <fill>
        <patternFill>
          <bgColor rgb="FFFFD7D7"/>
        </patternFill>
      </fill>
    </dxf>
    <dxf>
      <fill>
        <patternFill>
          <bgColor theme="0"/>
        </patternFill>
      </fill>
    </dxf>
    <dxf>
      <fill>
        <patternFill>
          <bgColor theme="2"/>
        </patternFill>
      </fill>
    </dxf>
    <dxf>
      <fill>
        <patternFill>
          <bgColor rgb="FFFFE7E7"/>
        </patternFill>
      </fill>
    </dxf>
    <dxf>
      <fill>
        <patternFill>
          <bgColor theme="2"/>
        </patternFill>
      </fill>
    </dxf>
    <dxf>
      <fill>
        <patternFill>
          <bgColor rgb="FFFFD7D7"/>
        </patternFill>
      </fill>
    </dxf>
    <dxf>
      <fill>
        <patternFill>
          <bgColor theme="0"/>
        </patternFill>
      </fill>
    </dxf>
    <dxf>
      <fill>
        <patternFill>
          <bgColor theme="2"/>
        </patternFill>
      </fill>
    </dxf>
    <dxf>
      <fill>
        <patternFill>
          <bgColor rgb="FFFFE7E7"/>
        </patternFill>
      </fill>
    </dxf>
    <dxf>
      <fill>
        <patternFill>
          <bgColor theme="2"/>
        </patternFill>
      </fill>
    </dxf>
    <dxf>
      <fill>
        <patternFill>
          <bgColor rgb="FFFFD7D7"/>
        </patternFill>
      </fill>
    </dxf>
    <dxf>
      <fill>
        <patternFill>
          <bgColor theme="0"/>
        </patternFill>
      </fill>
    </dxf>
    <dxf>
      <fill>
        <patternFill>
          <bgColor rgb="FFFFE7E7"/>
        </patternFill>
      </fill>
    </dxf>
    <dxf>
      <fill>
        <patternFill>
          <bgColor theme="2"/>
        </patternFill>
      </fill>
    </dxf>
    <dxf>
      <fill>
        <patternFill>
          <bgColor rgb="FFFFD7D7"/>
        </patternFill>
      </fill>
    </dxf>
    <dxf>
      <fill>
        <patternFill>
          <bgColor theme="0"/>
        </patternFill>
      </fill>
    </dxf>
    <dxf>
      <fill>
        <patternFill>
          <bgColor theme="2"/>
        </patternFill>
      </fill>
    </dxf>
    <dxf>
      <fill>
        <patternFill>
          <bgColor rgb="FFFFD7D7"/>
        </patternFill>
      </fill>
    </dxf>
    <dxf>
      <fill>
        <patternFill>
          <bgColor theme="0"/>
        </patternFill>
      </fill>
    </dxf>
    <dxf>
      <fill>
        <patternFill>
          <bgColor theme="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FE7E7"/>
      <color rgb="FFFFE1E1"/>
      <color rgb="FFFFD7D7"/>
      <color rgb="FFFFCCCC"/>
      <color rgb="FFFFC9C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36</xdr:col>
      <xdr:colOff>228601</xdr:colOff>
      <xdr:row>0</xdr:row>
      <xdr:rowOff>76200</xdr:rowOff>
    </xdr:from>
    <xdr:ext cx="1447800" cy="665567"/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7348FE8D-6975-4320-940A-D1C1333F07A1}"/>
            </a:ext>
          </a:extLst>
        </xdr:cNvPr>
        <xdr:cNvSpPr txBox="1"/>
      </xdr:nvSpPr>
      <xdr:spPr>
        <a:xfrm>
          <a:off x="12144376" y="76200"/>
          <a:ext cx="1447800" cy="665567"/>
        </a:xfrm>
        <a:prstGeom prst="wedgeRectCallout">
          <a:avLst>
            <a:gd name="adj1" fmla="val 65403"/>
            <a:gd name="adj2" fmla="val 76812"/>
          </a:avLst>
        </a:prstGeom>
        <a:noFill/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zh-CN" altLang="en-US" sz="1100" b="1"/>
            <a:t>年度总计</a:t>
          </a:r>
          <a:r>
            <a:rPr lang="zh-CN" altLang="en-US" sz="1100" b="1">
              <a:solidFill>
                <a:srgbClr val="FF0000"/>
              </a:solidFill>
            </a:rPr>
            <a:t>年假</a:t>
          </a:r>
          <a:r>
            <a:rPr lang="zh-CN" altLang="en-US" sz="1100" b="1"/>
            <a:t>，</a:t>
          </a:r>
          <a:r>
            <a:rPr lang="zh-CN" altLang="en-US" sz="1100" b="0"/>
            <a:t>由于统计口径不同，与实际有出入，仅供参考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36</xdr:col>
      <xdr:colOff>152401</xdr:colOff>
      <xdr:row>0</xdr:row>
      <xdr:rowOff>142875</xdr:rowOff>
    </xdr:from>
    <xdr:ext cx="1447800" cy="665567"/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E35DCB85-A09D-48CB-B2E1-924E6C749BCC}"/>
            </a:ext>
          </a:extLst>
        </xdr:cNvPr>
        <xdr:cNvSpPr txBox="1"/>
      </xdr:nvSpPr>
      <xdr:spPr>
        <a:xfrm>
          <a:off x="12068176" y="142875"/>
          <a:ext cx="1447800" cy="665567"/>
        </a:xfrm>
        <a:prstGeom prst="wedgeRectCallout">
          <a:avLst>
            <a:gd name="adj1" fmla="val 73956"/>
            <a:gd name="adj2" fmla="val 86830"/>
          </a:avLst>
        </a:prstGeom>
        <a:noFill/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zh-CN" altLang="en-US" sz="1100" b="1"/>
            <a:t>年度总计</a:t>
          </a:r>
          <a:r>
            <a:rPr lang="zh-CN" altLang="en-US" sz="1100" b="1">
              <a:solidFill>
                <a:srgbClr val="FF0000"/>
              </a:solidFill>
            </a:rPr>
            <a:t>年假</a:t>
          </a:r>
          <a:r>
            <a:rPr lang="zh-CN" altLang="en-US" sz="1100" b="1"/>
            <a:t>，</a:t>
          </a:r>
          <a:r>
            <a:rPr lang="zh-CN" altLang="en-US" sz="1100" b="0"/>
            <a:t>由于统计口径不同，与实际有出入，仅供参考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36</xdr:col>
      <xdr:colOff>152401</xdr:colOff>
      <xdr:row>0</xdr:row>
      <xdr:rowOff>142875</xdr:rowOff>
    </xdr:from>
    <xdr:ext cx="1447800" cy="665567"/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D18D8552-419D-4D4C-857C-55BC85F37F30}"/>
            </a:ext>
          </a:extLst>
        </xdr:cNvPr>
        <xdr:cNvSpPr txBox="1"/>
      </xdr:nvSpPr>
      <xdr:spPr>
        <a:xfrm>
          <a:off x="11601451" y="142875"/>
          <a:ext cx="1447800" cy="665567"/>
        </a:xfrm>
        <a:prstGeom prst="wedgeRectCallout">
          <a:avLst>
            <a:gd name="adj1" fmla="val 73956"/>
            <a:gd name="adj2" fmla="val 86830"/>
          </a:avLst>
        </a:prstGeom>
        <a:noFill/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zh-CN" altLang="en-US" sz="1100" b="1"/>
            <a:t>年度总计</a:t>
          </a:r>
          <a:r>
            <a:rPr lang="zh-CN" altLang="en-US" sz="1100" b="1">
              <a:solidFill>
                <a:srgbClr val="FF0000"/>
              </a:solidFill>
            </a:rPr>
            <a:t>年假</a:t>
          </a:r>
          <a:r>
            <a:rPr lang="zh-CN" altLang="en-US" sz="1100" b="1"/>
            <a:t>，</a:t>
          </a:r>
          <a:r>
            <a:rPr lang="zh-CN" altLang="en-US" sz="1100" b="0"/>
            <a:t>由于统计口径不同，与实际有出入，仅供参考</a:t>
          </a: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36</xdr:col>
      <xdr:colOff>152401</xdr:colOff>
      <xdr:row>0</xdr:row>
      <xdr:rowOff>142875</xdr:rowOff>
    </xdr:from>
    <xdr:ext cx="1447800" cy="665567"/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736E5F9C-F205-4ABF-A531-6F3BA848F1E9}"/>
            </a:ext>
          </a:extLst>
        </xdr:cNvPr>
        <xdr:cNvSpPr txBox="1"/>
      </xdr:nvSpPr>
      <xdr:spPr>
        <a:xfrm>
          <a:off x="12172951" y="142875"/>
          <a:ext cx="1447800" cy="665567"/>
        </a:xfrm>
        <a:prstGeom prst="wedgeRectCallout">
          <a:avLst>
            <a:gd name="adj1" fmla="val 73956"/>
            <a:gd name="adj2" fmla="val 86830"/>
          </a:avLst>
        </a:prstGeom>
        <a:noFill/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zh-CN" altLang="en-US" sz="1100" b="1"/>
            <a:t>年度总计</a:t>
          </a:r>
          <a:r>
            <a:rPr lang="zh-CN" altLang="en-US" sz="1100" b="1">
              <a:solidFill>
                <a:srgbClr val="FF0000"/>
              </a:solidFill>
            </a:rPr>
            <a:t>年假</a:t>
          </a:r>
          <a:r>
            <a:rPr lang="zh-CN" altLang="en-US" sz="1100" b="1"/>
            <a:t>，</a:t>
          </a:r>
          <a:r>
            <a:rPr lang="zh-CN" altLang="en-US" sz="1100" b="0"/>
            <a:t>由于统计口径不同，与实际有出入，仅供参考</a:t>
          </a:r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36</xdr:col>
      <xdr:colOff>152401</xdr:colOff>
      <xdr:row>0</xdr:row>
      <xdr:rowOff>142875</xdr:rowOff>
    </xdr:from>
    <xdr:ext cx="1447800" cy="665567"/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A13787EA-E138-4383-8738-8D304814CFB8}"/>
            </a:ext>
          </a:extLst>
        </xdr:cNvPr>
        <xdr:cNvSpPr txBox="1"/>
      </xdr:nvSpPr>
      <xdr:spPr>
        <a:xfrm>
          <a:off x="12030076" y="142875"/>
          <a:ext cx="1447800" cy="665567"/>
        </a:xfrm>
        <a:prstGeom prst="wedgeRectCallout">
          <a:avLst>
            <a:gd name="adj1" fmla="val 73956"/>
            <a:gd name="adj2" fmla="val 86830"/>
          </a:avLst>
        </a:prstGeom>
        <a:noFill/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zh-CN" altLang="en-US" sz="1100" b="1"/>
            <a:t>年度总计</a:t>
          </a:r>
          <a:r>
            <a:rPr lang="zh-CN" altLang="en-US" sz="1100" b="1">
              <a:solidFill>
                <a:srgbClr val="FF0000"/>
              </a:solidFill>
            </a:rPr>
            <a:t>年假</a:t>
          </a:r>
          <a:r>
            <a:rPr lang="zh-CN" altLang="en-US" sz="1100" b="1"/>
            <a:t>，</a:t>
          </a:r>
          <a:r>
            <a:rPr lang="zh-CN" altLang="en-US" sz="1100" b="0"/>
            <a:t>由于统计口径不同，与实际有出入，仅供参考</a:t>
          </a:r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36</xdr:col>
      <xdr:colOff>152401</xdr:colOff>
      <xdr:row>0</xdr:row>
      <xdr:rowOff>142875</xdr:rowOff>
    </xdr:from>
    <xdr:ext cx="1447800" cy="665567"/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CE3DAEBD-3B88-46ED-A4D5-DE045526C401}"/>
            </a:ext>
          </a:extLst>
        </xdr:cNvPr>
        <xdr:cNvSpPr txBox="1"/>
      </xdr:nvSpPr>
      <xdr:spPr>
        <a:xfrm>
          <a:off x="12163426" y="142875"/>
          <a:ext cx="1447800" cy="665567"/>
        </a:xfrm>
        <a:prstGeom prst="wedgeRectCallout">
          <a:avLst>
            <a:gd name="adj1" fmla="val 73956"/>
            <a:gd name="adj2" fmla="val 86830"/>
          </a:avLst>
        </a:prstGeom>
        <a:noFill/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zh-CN" altLang="en-US" sz="1100" b="1"/>
            <a:t>年度总计</a:t>
          </a:r>
          <a:r>
            <a:rPr lang="zh-CN" altLang="en-US" sz="1100" b="1">
              <a:solidFill>
                <a:srgbClr val="FF0000"/>
              </a:solidFill>
            </a:rPr>
            <a:t>年假</a:t>
          </a:r>
          <a:r>
            <a:rPr lang="zh-CN" altLang="en-US" sz="1100" b="1"/>
            <a:t>，</a:t>
          </a:r>
          <a:r>
            <a:rPr lang="zh-CN" altLang="en-US" sz="1100" b="0"/>
            <a:t>由于统计口径不同，与实际有出入，仅供参考</a:t>
          </a:r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37</xdr:col>
      <xdr:colOff>180976</xdr:colOff>
      <xdr:row>0</xdr:row>
      <xdr:rowOff>295275</xdr:rowOff>
    </xdr:from>
    <xdr:ext cx="1447800" cy="665567"/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6A3E5CC1-B359-41C2-B816-270D2AE9FB31}"/>
            </a:ext>
          </a:extLst>
        </xdr:cNvPr>
        <xdr:cNvSpPr txBox="1"/>
      </xdr:nvSpPr>
      <xdr:spPr>
        <a:xfrm>
          <a:off x="12553951" y="295275"/>
          <a:ext cx="1447800" cy="665567"/>
        </a:xfrm>
        <a:prstGeom prst="wedgeRectCallout">
          <a:avLst>
            <a:gd name="adj1" fmla="val 73956"/>
            <a:gd name="adj2" fmla="val 86830"/>
          </a:avLst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zh-CN" altLang="en-US" sz="1100" b="1"/>
            <a:t>年度总计</a:t>
          </a:r>
          <a:r>
            <a:rPr lang="zh-CN" altLang="en-US" sz="1100" b="1">
              <a:solidFill>
                <a:srgbClr val="FF0000"/>
              </a:solidFill>
            </a:rPr>
            <a:t>年假</a:t>
          </a:r>
          <a:r>
            <a:rPr lang="zh-CN" altLang="en-US" sz="1100" b="1"/>
            <a:t>，</a:t>
          </a:r>
          <a:r>
            <a:rPr lang="zh-CN" altLang="en-US" sz="1100" b="0"/>
            <a:t>由于统计口径不同，与实际有出入，仅供参考</a:t>
          </a:r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40</xdr:col>
      <xdr:colOff>66675</xdr:colOff>
      <xdr:row>0</xdr:row>
      <xdr:rowOff>142875</xdr:rowOff>
    </xdr:from>
    <xdr:ext cx="1266825" cy="561116"/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21C8B9E1-56AE-40E9-9F52-8C866D0FC0A0}"/>
            </a:ext>
          </a:extLst>
        </xdr:cNvPr>
        <xdr:cNvSpPr txBox="1"/>
      </xdr:nvSpPr>
      <xdr:spPr>
        <a:xfrm>
          <a:off x="14468475" y="142875"/>
          <a:ext cx="1266825" cy="561116"/>
        </a:xfrm>
        <a:prstGeom prst="wedgeRectCallout">
          <a:avLst>
            <a:gd name="adj1" fmla="val -19118"/>
            <a:gd name="adj2" fmla="val 94578"/>
          </a:avLst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zh-CN" altLang="en-US" sz="900" b="1"/>
            <a:t>年度总计</a:t>
          </a:r>
          <a:r>
            <a:rPr lang="zh-CN" altLang="en-US" sz="900" b="1">
              <a:solidFill>
                <a:srgbClr val="FF0000"/>
              </a:solidFill>
            </a:rPr>
            <a:t>年假</a:t>
          </a:r>
          <a:r>
            <a:rPr lang="zh-CN" altLang="en-US" sz="900" b="1"/>
            <a:t>，</a:t>
          </a:r>
          <a:r>
            <a:rPr lang="zh-CN" altLang="en-US" sz="900" b="0"/>
            <a:t>由于统计口径不同，与实际有出入，仅供参考。</a:t>
          </a:r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40</xdr:col>
      <xdr:colOff>57150</xdr:colOff>
      <xdr:row>0</xdr:row>
      <xdr:rowOff>142874</xdr:rowOff>
    </xdr:from>
    <xdr:ext cx="1276350" cy="561975"/>
    <xdr:sp macro="" textlink="">
      <xdr:nvSpPr>
        <xdr:cNvPr id="3" name="文本框 2">
          <a:extLst>
            <a:ext uri="{FF2B5EF4-FFF2-40B4-BE49-F238E27FC236}">
              <a16:creationId xmlns:a16="http://schemas.microsoft.com/office/drawing/2014/main" id="{049E158E-CB86-4C7A-8DBA-9EE2AE3B8418}"/>
            </a:ext>
          </a:extLst>
        </xdr:cNvPr>
        <xdr:cNvSpPr txBox="1"/>
      </xdr:nvSpPr>
      <xdr:spPr>
        <a:xfrm>
          <a:off x="12782550" y="142874"/>
          <a:ext cx="1276350" cy="561975"/>
        </a:xfrm>
        <a:prstGeom prst="wedgeRectCallout">
          <a:avLst>
            <a:gd name="adj1" fmla="val -20409"/>
            <a:gd name="adj2" fmla="val 74265"/>
          </a:avLst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zh-CN" altLang="en-US" sz="900" b="1"/>
            <a:t>年度总计</a:t>
          </a:r>
          <a:r>
            <a:rPr lang="zh-CN" altLang="en-US" sz="900" b="1">
              <a:solidFill>
                <a:srgbClr val="FF0000"/>
              </a:solidFill>
            </a:rPr>
            <a:t>年假</a:t>
          </a:r>
          <a:r>
            <a:rPr lang="zh-CN" altLang="en-US" sz="900" b="1"/>
            <a:t>，</a:t>
          </a:r>
          <a:r>
            <a:rPr lang="zh-CN" altLang="en-US" sz="900" b="0"/>
            <a:t>由于统计口径不同，与实际有出入，仅供参考。</a:t>
          </a:r>
        </a:p>
      </xdr:txBody>
    </xdr:sp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40</xdr:col>
      <xdr:colOff>57150</xdr:colOff>
      <xdr:row>0</xdr:row>
      <xdr:rowOff>142874</xdr:rowOff>
    </xdr:from>
    <xdr:ext cx="1276350" cy="561975"/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D5BDB27B-6A0A-4E80-AF88-0A21FC5CCB72}"/>
            </a:ext>
          </a:extLst>
        </xdr:cNvPr>
        <xdr:cNvSpPr txBox="1"/>
      </xdr:nvSpPr>
      <xdr:spPr>
        <a:xfrm>
          <a:off x="13925550" y="142874"/>
          <a:ext cx="1276350" cy="561975"/>
        </a:xfrm>
        <a:prstGeom prst="wedgeRectCallout">
          <a:avLst>
            <a:gd name="adj1" fmla="val -20409"/>
            <a:gd name="adj2" fmla="val 74265"/>
          </a:avLst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zh-CN" altLang="en-US" sz="900" b="1"/>
            <a:t>年度总计</a:t>
          </a:r>
          <a:r>
            <a:rPr lang="zh-CN" altLang="en-US" sz="900" b="1">
              <a:solidFill>
                <a:srgbClr val="FF0000"/>
              </a:solidFill>
            </a:rPr>
            <a:t>年假</a:t>
          </a:r>
          <a:r>
            <a:rPr lang="zh-CN" altLang="en-US" sz="900" b="1"/>
            <a:t>，</a:t>
          </a:r>
          <a:r>
            <a:rPr lang="zh-CN" altLang="en-US" sz="900" b="0"/>
            <a:t>由于统计口径不同，与实际有出入，仅供参考。</a:t>
          </a:r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40</xdr:col>
      <xdr:colOff>57150</xdr:colOff>
      <xdr:row>0</xdr:row>
      <xdr:rowOff>142874</xdr:rowOff>
    </xdr:from>
    <xdr:ext cx="1276350" cy="561975"/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11111111-2222-3333-4444-555555555555}"/>
            </a:ext>
          </a:extLst>
        </xdr:cNvPr>
        <xdr:cNvSpPr txBox="1"/>
      </xdr:nvSpPr>
      <xdr:spPr>
        <a:xfrm>
          <a:off x="13925550" y="142874"/>
          <a:ext cx="1276350" cy="561975"/>
        </a:xfrm>
        <a:prstGeom prst="wedgeRectCallout">
          <a:avLst>
            <a:gd name="adj1" fmla="val -20409"/>
            <a:gd name="adj2" fmla="val 74265"/>
          </a:avLst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zh-CN" altLang="en-US" sz="900" b="1"/>
            <a:t>年度总计</a:t>
          </a:r>
          <a:r>
            <a:rPr lang="zh-CN" altLang="en-US" sz="900" b="1">
              <a:solidFill>
                <a:srgbClr val="FF0000"/>
              </a:solidFill>
            </a:rPr>
            <a:t>年假</a:t>
          </a:r>
          <a:r>
            <a:rPr lang="zh-CN" altLang="en-US" sz="900" b="1"/>
            <a:t>，</a:t>
          </a:r>
          <a:r>
            <a:rPr lang="zh-CN" altLang="en-US" sz="900" b="0"/>
            <a:t>由于统计口径不同，与实际有出入，仅供参考。</a:t>
          </a:r>
        </a:p>
      </xdr:txBody>
    </xdr:sp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40</xdr:col>
      <xdr:colOff>57150</xdr:colOff>
      <xdr:row>0</xdr:row>
      <xdr:rowOff>142874</xdr:rowOff>
    </xdr:from>
    <xdr:ext cx="1276350" cy="561975"/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11111112-2222-3333-4444-555555555555}"/>
            </a:ext>
          </a:extLst>
        </xdr:cNvPr>
        <xdr:cNvSpPr txBox="1"/>
      </xdr:nvSpPr>
      <xdr:spPr>
        <a:xfrm>
          <a:off x="13925550" y="142874"/>
          <a:ext cx="1276350" cy="561975"/>
        </a:xfrm>
        <a:prstGeom prst="wedgeRectCallout">
          <a:avLst>
            <a:gd name="adj1" fmla="val -20409"/>
            <a:gd name="adj2" fmla="val 74265"/>
          </a:avLst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zh-CN" altLang="en-US" sz="900" b="1"/>
            <a:t>年度总计</a:t>
          </a:r>
          <a:r>
            <a:rPr lang="zh-CN" altLang="en-US" sz="900" b="1">
              <a:solidFill>
                <a:srgbClr val="FF0000"/>
              </a:solidFill>
            </a:rPr>
            <a:t>年假</a:t>
          </a:r>
          <a:r>
            <a:rPr lang="zh-CN" altLang="en-US" sz="900" b="1"/>
            <a:t>，</a:t>
          </a:r>
          <a:r>
            <a:rPr lang="zh-CN" altLang="en-US" sz="900" b="0"/>
            <a:t>由于统计口径不同，与实际有出入，仅供参考。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3190C-AA31-42ED-B2E5-801131584786}">
  <sheetPr>
    <pageSetUpPr fitToPage="1"/>
  </sheetPr>
  <dimension ref="A1:AP31"/>
  <sheetViews>
    <sheetView zoomScaleNormal="100" workbookViewId="0">
      <pane xSplit="2" ySplit="4" topLeftCell="C7" activePane="bottomRight" state="frozen"/>
      <selection pane="topRight" activeCell="C1" sqref="C1"/>
      <selection pane="bottomLeft" activeCell="A5" sqref="A5"/>
      <selection pane="bottomRight" activeCell="AO13" sqref="AO13:AO14"/>
    </sheetView>
  </sheetViews>
  <sheetFormatPr defaultColWidth="9" defaultRowHeight="14.25"/>
  <cols>
    <col min="1" max="1" width="6" bestFit="1" customWidth="1"/>
    <col min="2" max="2" width="8.125" customWidth="1"/>
    <col min="3" max="30" width="4.125" customWidth="1"/>
    <col min="31" max="32" width="3.75" bestFit="1" customWidth="1"/>
    <col min="33" max="33" width="3.5" customWidth="1"/>
    <col min="34" max="37" width="5.25" bestFit="1" customWidth="1"/>
    <col min="38" max="38" width="5.375" bestFit="1" customWidth="1"/>
    <col min="39" max="39" width="7.125" bestFit="1" customWidth="1"/>
    <col min="40" max="40" width="5.25" customWidth="1"/>
    <col min="41" max="42" width="5.25" bestFit="1" customWidth="1"/>
  </cols>
  <sheetData>
    <row r="1" spans="1:42" ht="84" customHeight="1" thickBot="1">
      <c r="A1" s="142" t="s">
        <v>15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  <c r="AD1" s="142"/>
      <c r="AE1" s="142"/>
      <c r="AF1" s="142"/>
      <c r="AG1" s="142"/>
      <c r="AH1" s="142"/>
      <c r="AI1" s="142"/>
      <c r="AJ1" s="142"/>
      <c r="AK1" s="142"/>
      <c r="AL1" s="142"/>
      <c r="AM1" s="142"/>
      <c r="AN1" s="142"/>
      <c r="AO1" s="142"/>
      <c r="AP1" s="142"/>
    </row>
    <row r="2" spans="1:42" ht="31.5" customHeight="1">
      <c r="A2" s="144" t="s">
        <v>0</v>
      </c>
      <c r="B2" s="243" t="s">
        <v>1</v>
      </c>
      <c r="C2" s="244" t="s">
        <v>35</v>
      </c>
      <c r="D2" s="245"/>
      <c r="E2" s="245"/>
      <c r="F2" s="245"/>
      <c r="G2" s="245"/>
      <c r="H2" s="245"/>
      <c r="I2" s="245"/>
      <c r="J2" s="245"/>
      <c r="K2" s="245"/>
      <c r="L2" s="245"/>
      <c r="M2" s="245"/>
      <c r="N2" s="245"/>
      <c r="O2" s="245"/>
      <c r="P2" s="245"/>
      <c r="Q2" s="245"/>
      <c r="R2" s="245"/>
      <c r="S2" s="245"/>
      <c r="T2" s="245"/>
      <c r="U2" s="245"/>
      <c r="V2" s="245"/>
      <c r="W2" s="245"/>
      <c r="X2" s="245"/>
      <c r="Y2" s="245"/>
      <c r="Z2" s="245"/>
      <c r="AA2" s="245"/>
      <c r="AB2" s="245"/>
      <c r="AC2" s="245"/>
      <c r="AD2" s="245"/>
      <c r="AE2" s="245"/>
      <c r="AF2" s="245"/>
      <c r="AG2" s="245"/>
      <c r="AH2" s="246" t="s">
        <v>17</v>
      </c>
      <c r="AI2" s="246" t="s">
        <v>18</v>
      </c>
      <c r="AJ2" s="246" t="s">
        <v>19</v>
      </c>
      <c r="AK2" s="246" t="s">
        <v>20</v>
      </c>
      <c r="AL2" s="248" t="s">
        <v>33</v>
      </c>
      <c r="AM2" s="249"/>
      <c r="AN2" s="250"/>
      <c r="AO2" s="251" t="s">
        <v>16</v>
      </c>
      <c r="AP2" s="156" t="s">
        <v>24</v>
      </c>
    </row>
    <row r="3" spans="1:42">
      <c r="A3" s="144"/>
      <c r="B3" s="146"/>
      <c r="C3" s="51">
        <v>1</v>
      </c>
      <c r="D3" s="48">
        <v>2</v>
      </c>
      <c r="E3" s="48">
        <v>3</v>
      </c>
      <c r="F3" s="48">
        <v>4</v>
      </c>
      <c r="G3" s="48">
        <v>5</v>
      </c>
      <c r="H3" s="48">
        <v>6</v>
      </c>
      <c r="I3" s="48">
        <v>7</v>
      </c>
      <c r="J3" s="48">
        <v>8</v>
      </c>
      <c r="K3" s="48">
        <v>9</v>
      </c>
      <c r="L3" s="48">
        <v>10</v>
      </c>
      <c r="M3" s="48">
        <v>11</v>
      </c>
      <c r="N3" s="48">
        <v>12</v>
      </c>
      <c r="O3" s="48">
        <v>13</v>
      </c>
      <c r="P3" s="48">
        <v>14</v>
      </c>
      <c r="Q3" s="48">
        <v>15</v>
      </c>
      <c r="R3" s="48">
        <v>16</v>
      </c>
      <c r="S3" s="82">
        <v>17</v>
      </c>
      <c r="T3" s="48">
        <v>18</v>
      </c>
      <c r="U3" s="48">
        <v>19</v>
      </c>
      <c r="V3" s="81">
        <v>20</v>
      </c>
      <c r="W3" s="48">
        <v>21</v>
      </c>
      <c r="X3" s="48">
        <v>22</v>
      </c>
      <c r="Y3" s="48">
        <v>23</v>
      </c>
      <c r="Z3" s="48">
        <v>24</v>
      </c>
      <c r="AA3" s="49">
        <v>25</v>
      </c>
      <c r="AB3" s="49">
        <v>26</v>
      </c>
      <c r="AC3" s="48">
        <v>27</v>
      </c>
      <c r="AD3" s="49">
        <v>28</v>
      </c>
      <c r="AE3" s="48">
        <v>29</v>
      </c>
      <c r="AF3" s="48">
        <v>30</v>
      </c>
      <c r="AG3" s="48">
        <v>31</v>
      </c>
      <c r="AH3" s="247"/>
      <c r="AI3" s="246"/>
      <c r="AJ3" s="246"/>
      <c r="AK3" s="246"/>
      <c r="AL3" s="252" t="s">
        <v>26</v>
      </c>
      <c r="AM3" s="254" t="s">
        <v>32</v>
      </c>
      <c r="AN3" s="256" t="s">
        <v>27</v>
      </c>
      <c r="AO3" s="153"/>
      <c r="AP3" s="156"/>
    </row>
    <row r="4" spans="1:42" ht="15" thickBot="1">
      <c r="A4" s="144"/>
      <c r="B4" s="146"/>
      <c r="C4" s="59" t="s">
        <v>28</v>
      </c>
      <c r="D4" s="59" t="s">
        <v>30</v>
      </c>
      <c r="E4" s="59" t="s">
        <v>30</v>
      </c>
      <c r="F4" s="59" t="s">
        <v>29</v>
      </c>
      <c r="G4" s="59" t="s">
        <v>29</v>
      </c>
      <c r="H4" s="59" t="s">
        <v>29</v>
      </c>
      <c r="I4" s="59" t="s">
        <v>29</v>
      </c>
      <c r="J4" s="59" t="s">
        <v>29</v>
      </c>
      <c r="K4" s="59" t="s">
        <v>29</v>
      </c>
      <c r="L4" s="59" t="s">
        <v>30</v>
      </c>
      <c r="M4" s="59" t="s">
        <v>30</v>
      </c>
      <c r="N4" s="59" t="s">
        <v>29</v>
      </c>
      <c r="O4" s="59" t="s">
        <v>29</v>
      </c>
      <c r="P4" s="59" t="s">
        <v>29</v>
      </c>
      <c r="Q4" s="59" t="s">
        <v>29</v>
      </c>
      <c r="R4" s="59" t="s">
        <v>29</v>
      </c>
      <c r="S4" s="83" t="s">
        <v>30</v>
      </c>
      <c r="T4" s="83" t="s">
        <v>30</v>
      </c>
      <c r="U4" s="83" t="s">
        <v>29</v>
      </c>
      <c r="V4" s="83" t="s">
        <v>29</v>
      </c>
      <c r="W4" s="83" t="s">
        <v>29</v>
      </c>
      <c r="X4" s="83" t="s">
        <v>29</v>
      </c>
      <c r="Y4" s="83" t="s">
        <v>29</v>
      </c>
      <c r="Z4" s="59" t="s">
        <v>30</v>
      </c>
      <c r="AA4" s="59" t="s">
        <v>30</v>
      </c>
      <c r="AB4" s="59" t="s">
        <v>29</v>
      </c>
      <c r="AC4" s="59" t="s">
        <v>29</v>
      </c>
      <c r="AD4" s="59" t="s">
        <v>29</v>
      </c>
      <c r="AE4" s="59" t="s">
        <v>29</v>
      </c>
      <c r="AF4" s="59" t="s">
        <v>29</v>
      </c>
      <c r="AG4" s="59" t="s">
        <v>30</v>
      </c>
      <c r="AH4" s="247"/>
      <c r="AI4" s="246"/>
      <c r="AJ4" s="246"/>
      <c r="AK4" s="246"/>
      <c r="AL4" s="253"/>
      <c r="AM4" s="255"/>
      <c r="AN4" s="257"/>
      <c r="AO4" s="154"/>
      <c r="AP4" s="156"/>
    </row>
    <row r="5" spans="1:42" s="1" customFormat="1" ht="15.95" customHeight="1">
      <c r="A5" s="174">
        <v>1</v>
      </c>
      <c r="B5" s="176" t="s">
        <v>2</v>
      </c>
      <c r="C5" s="61"/>
      <c r="D5" s="241"/>
      <c r="E5" s="241"/>
      <c r="F5" s="242"/>
      <c r="G5" s="64"/>
      <c r="H5" s="63"/>
      <c r="I5" s="64"/>
      <c r="J5" s="64"/>
      <c r="K5" s="64"/>
      <c r="L5" s="241"/>
      <c r="M5" s="241"/>
      <c r="N5" s="242"/>
      <c r="O5" s="242"/>
      <c r="P5" s="64"/>
      <c r="Q5" s="64"/>
      <c r="R5" s="242"/>
      <c r="S5" s="85"/>
      <c r="T5" s="229"/>
      <c r="U5" s="11"/>
      <c r="V5" s="64"/>
      <c r="W5" s="64"/>
      <c r="X5" s="64"/>
      <c r="Y5" s="242"/>
      <c r="Z5" s="241"/>
      <c r="AA5" s="84"/>
      <c r="AB5" s="242"/>
      <c r="AC5" s="242"/>
      <c r="AD5" s="64"/>
      <c r="AE5" s="64"/>
      <c r="AF5" s="64"/>
      <c r="AG5" s="84"/>
      <c r="AH5" s="163">
        <f>-(SUMIF(C5:AG5,"=年",C6:AG6))</f>
        <v>0</v>
      </c>
      <c r="AI5" s="165">
        <f>-(SUMIF(C5:AG5,"=调",C6:AG6))</f>
        <v>0</v>
      </c>
      <c r="AJ5" s="165">
        <f>-(SUMIF(C5:AG5,"=病",C6:AG6))</f>
        <v>0</v>
      </c>
      <c r="AK5" s="165">
        <f>-(SUMIF(C5:AG5,"=事",C6:AG6))</f>
        <v>0</v>
      </c>
      <c r="AL5" s="70">
        <f>SUMIF(C4:AG4,"P",C5:AG6)</f>
        <v>0</v>
      </c>
      <c r="AM5" s="67">
        <f>SUMIF(C4:AG4,"S",C5:AG6)</f>
        <v>0</v>
      </c>
      <c r="AN5" s="77">
        <f>SUMIF(C4:AG4,"G",C5:AG6)</f>
        <v>0</v>
      </c>
      <c r="AO5" s="167">
        <f>AH5</f>
        <v>0</v>
      </c>
      <c r="AP5" s="169"/>
    </row>
    <row r="6" spans="1:42" s="1" customFormat="1" ht="15.95" customHeight="1">
      <c r="A6" s="175"/>
      <c r="B6" s="177"/>
      <c r="C6" s="36"/>
      <c r="D6" s="229"/>
      <c r="E6" s="229"/>
      <c r="F6" s="204"/>
      <c r="G6" s="16"/>
      <c r="H6" s="37"/>
      <c r="I6" s="16"/>
      <c r="J6" s="16"/>
      <c r="K6" s="16"/>
      <c r="L6" s="229"/>
      <c r="M6" s="229"/>
      <c r="N6" s="198"/>
      <c r="O6" s="198"/>
      <c r="P6" s="16"/>
      <c r="Q6" s="16"/>
      <c r="R6" s="204"/>
      <c r="S6" s="87"/>
      <c r="T6" s="229"/>
      <c r="U6" s="15"/>
      <c r="V6" s="16"/>
      <c r="W6" s="16"/>
      <c r="X6" s="16"/>
      <c r="Y6" s="204"/>
      <c r="Z6" s="229"/>
      <c r="AA6" s="87"/>
      <c r="AB6" s="204"/>
      <c r="AC6" s="204"/>
      <c r="AD6" s="16"/>
      <c r="AE6" s="16"/>
      <c r="AF6" s="16"/>
      <c r="AG6" s="85"/>
      <c r="AH6" s="164"/>
      <c r="AI6" s="166"/>
      <c r="AJ6" s="166"/>
      <c r="AK6" s="166"/>
      <c r="AL6" s="171" t="str">
        <f>IF(SUM(C5:AG5)-AI5=0,"√",SUM(C5:AG5)-AI5)</f>
        <v>√</v>
      </c>
      <c r="AM6" s="172"/>
      <c r="AN6" s="173"/>
      <c r="AO6" s="168"/>
      <c r="AP6" s="170"/>
    </row>
    <row r="7" spans="1:42" s="1" customFormat="1" ht="15.95" customHeight="1">
      <c r="A7" s="185">
        <v>2</v>
      </c>
      <c r="B7" s="186" t="s">
        <v>3</v>
      </c>
      <c r="C7" s="32"/>
      <c r="D7" s="224"/>
      <c r="E7" s="224"/>
      <c r="F7" s="197"/>
      <c r="G7" s="197"/>
      <c r="H7" s="197"/>
      <c r="I7" s="197"/>
      <c r="J7" s="197"/>
      <c r="K7" s="197"/>
      <c r="L7" s="224"/>
      <c r="M7" s="224"/>
      <c r="N7" s="11"/>
      <c r="O7" s="197"/>
      <c r="P7" s="197"/>
      <c r="Q7" s="197"/>
      <c r="R7" s="197"/>
      <c r="S7" s="224"/>
      <c r="T7" s="224"/>
      <c r="U7" s="16"/>
      <c r="V7" s="197"/>
      <c r="W7" s="197"/>
      <c r="X7" s="197"/>
      <c r="Y7" s="14"/>
      <c r="Z7" s="86"/>
      <c r="AA7" s="85"/>
      <c r="AB7" s="11"/>
      <c r="AC7" s="11"/>
      <c r="AD7" s="11"/>
      <c r="AE7" s="11"/>
      <c r="AF7" s="11"/>
      <c r="AG7" s="224">
        <v>4</v>
      </c>
      <c r="AH7" s="189">
        <f>-(SUMIF(C7:AG7,"=年",C8:AG8))</f>
        <v>0</v>
      </c>
      <c r="AI7" s="193">
        <f>-(SUMIF(C7:AG7,"=调",C8:AG8))</f>
        <v>0</v>
      </c>
      <c r="AJ7" s="193">
        <f>-(SUMIF(C7:AG7,"=病",C8:AG8))</f>
        <v>0</v>
      </c>
      <c r="AK7" s="193">
        <f>-(SUMIF(C7:AG7,"=事",C8:AG8))</f>
        <v>0</v>
      </c>
      <c r="AL7" s="71">
        <f>SUMIF(C4:AG4,"P",C7:AG8)</f>
        <v>0</v>
      </c>
      <c r="AM7" s="57">
        <f>SUMIF(C4:AG4,"S",C7:AG8)</f>
        <v>4</v>
      </c>
      <c r="AN7" s="78">
        <f>SUMIF(C4:AG4,"G",C7:AG8)</f>
        <v>0</v>
      </c>
      <c r="AO7" s="167">
        <f>AH7</f>
        <v>0</v>
      </c>
      <c r="AP7" s="217"/>
    </row>
    <row r="8" spans="1:42" s="1" customFormat="1" ht="15.95" customHeight="1">
      <c r="A8" s="185"/>
      <c r="B8" s="186"/>
      <c r="C8" s="31"/>
      <c r="D8" s="225"/>
      <c r="E8" s="225"/>
      <c r="F8" s="198"/>
      <c r="G8" s="198"/>
      <c r="H8" s="198"/>
      <c r="I8" s="198"/>
      <c r="J8" s="198"/>
      <c r="K8" s="198"/>
      <c r="L8" s="225"/>
      <c r="M8" s="225"/>
      <c r="N8" s="15"/>
      <c r="O8" s="198"/>
      <c r="P8" s="198"/>
      <c r="Q8" s="198"/>
      <c r="R8" s="198"/>
      <c r="S8" s="225"/>
      <c r="T8" s="225"/>
      <c r="U8" s="15"/>
      <c r="V8" s="198"/>
      <c r="W8" s="198"/>
      <c r="X8" s="198"/>
      <c r="Y8" s="38"/>
      <c r="Z8" s="87"/>
      <c r="AA8" s="87"/>
      <c r="AB8" s="15"/>
      <c r="AC8" s="15"/>
      <c r="AD8" s="15"/>
      <c r="AE8" s="15"/>
      <c r="AF8" s="15"/>
      <c r="AG8" s="225"/>
      <c r="AH8" s="180"/>
      <c r="AI8" s="194"/>
      <c r="AJ8" s="194"/>
      <c r="AK8" s="194"/>
      <c r="AL8" s="190">
        <f>IF(SUM(C7:AG7)-AI7=0,"√",SUM(C7:AG7)-AI7)</f>
        <v>4</v>
      </c>
      <c r="AM8" s="191"/>
      <c r="AN8" s="192"/>
      <c r="AO8" s="168"/>
      <c r="AP8" s="196"/>
    </row>
    <row r="9" spans="1:42" s="1" customFormat="1" ht="15.95" customHeight="1">
      <c r="A9" s="182">
        <v>3</v>
      </c>
      <c r="B9" s="183" t="s">
        <v>4</v>
      </c>
      <c r="C9" s="60"/>
      <c r="D9" s="229"/>
      <c r="E9" s="229"/>
      <c r="F9" s="16"/>
      <c r="G9" s="16"/>
      <c r="H9" s="197"/>
      <c r="I9" s="197"/>
      <c r="J9" s="16"/>
      <c r="K9" s="16"/>
      <c r="L9" s="229"/>
      <c r="M9" s="85"/>
      <c r="N9" s="16"/>
      <c r="O9" s="16"/>
      <c r="P9" s="16"/>
      <c r="Q9" s="16"/>
      <c r="R9" s="16"/>
      <c r="S9" s="229"/>
      <c r="T9" s="224"/>
      <c r="U9" s="197"/>
      <c r="V9" s="16"/>
      <c r="W9" s="16"/>
      <c r="X9" s="204"/>
      <c r="Y9" s="204"/>
      <c r="Z9" s="85"/>
      <c r="AA9" s="85"/>
      <c r="AB9" s="204"/>
      <c r="AC9" s="16"/>
      <c r="AD9" s="16"/>
      <c r="AE9" s="204"/>
      <c r="AF9" s="204"/>
      <c r="AG9" s="229"/>
      <c r="AH9" s="164">
        <f>-(SUMIF(C9:AG9,"=年",C10:AG10))</f>
        <v>0</v>
      </c>
      <c r="AI9" s="166">
        <f>-(SUMIF(C9:AG9,"=调",C10:AG10))</f>
        <v>0</v>
      </c>
      <c r="AJ9" s="166">
        <f>-(SUMIF(C9:AG9,"=病",C10:AG10))</f>
        <v>0</v>
      </c>
      <c r="AK9" s="166">
        <f>-(SUMIF(C9:AG9,"=事",C10:AG10))</f>
        <v>0</v>
      </c>
      <c r="AL9" s="72">
        <f>SUMIF(C4:AG4,"P",C9:AG10)</f>
        <v>0</v>
      </c>
      <c r="AM9" s="68">
        <f>SUMIF(C4:AG4,"S",C9:AG10)</f>
        <v>0</v>
      </c>
      <c r="AN9" s="79">
        <f>SUMIF(C4:AG4,"G",C9:AG10)</f>
        <v>0</v>
      </c>
      <c r="AO9" s="167">
        <f>AH9</f>
        <v>0</v>
      </c>
      <c r="AP9" s="170"/>
    </row>
    <row r="10" spans="1:42" s="1" customFormat="1" ht="15.95" customHeight="1">
      <c r="A10" s="175"/>
      <c r="B10" s="177"/>
      <c r="C10" s="60"/>
      <c r="D10" s="229"/>
      <c r="E10" s="229"/>
      <c r="F10" s="16"/>
      <c r="G10" s="16"/>
      <c r="H10" s="198"/>
      <c r="I10" s="198"/>
      <c r="J10" s="16"/>
      <c r="K10" s="16"/>
      <c r="L10" s="229"/>
      <c r="M10" s="85"/>
      <c r="N10" s="16"/>
      <c r="O10" s="16"/>
      <c r="P10" s="16"/>
      <c r="Q10" s="16"/>
      <c r="R10" s="16"/>
      <c r="S10" s="229"/>
      <c r="T10" s="225"/>
      <c r="U10" s="198"/>
      <c r="V10" s="16"/>
      <c r="W10" s="16"/>
      <c r="X10" s="204"/>
      <c r="Y10" s="204"/>
      <c r="Z10" s="85"/>
      <c r="AA10" s="85"/>
      <c r="AB10" s="204"/>
      <c r="AC10" s="16"/>
      <c r="AD10" s="16"/>
      <c r="AE10" s="204"/>
      <c r="AF10" s="204"/>
      <c r="AG10" s="229"/>
      <c r="AH10" s="164"/>
      <c r="AI10" s="166"/>
      <c r="AJ10" s="166"/>
      <c r="AK10" s="166"/>
      <c r="AL10" s="171" t="str">
        <f>IF(SUM(C9:AG9)-AI9=0,"√",SUM(C9:AG9)-AI9)</f>
        <v>√</v>
      </c>
      <c r="AM10" s="172"/>
      <c r="AN10" s="173"/>
      <c r="AO10" s="168"/>
      <c r="AP10" s="170"/>
    </row>
    <row r="11" spans="1:42" s="1" customFormat="1" ht="15.95" customHeight="1">
      <c r="A11" s="185">
        <v>4</v>
      </c>
      <c r="B11" s="186" t="s">
        <v>5</v>
      </c>
      <c r="C11" s="236">
        <v>7</v>
      </c>
      <c r="D11" s="224">
        <v>8.5</v>
      </c>
      <c r="E11" s="224">
        <v>8.5</v>
      </c>
      <c r="F11" s="197">
        <v>1</v>
      </c>
      <c r="G11" s="233"/>
      <c r="H11" s="197">
        <v>3</v>
      </c>
      <c r="I11" s="197"/>
      <c r="J11" s="233"/>
      <c r="K11" s="197">
        <v>3</v>
      </c>
      <c r="L11" s="224">
        <v>8.5</v>
      </c>
      <c r="M11" s="224"/>
      <c r="N11" s="233"/>
      <c r="O11" s="197"/>
      <c r="P11" s="197"/>
      <c r="Q11" s="233"/>
      <c r="R11" s="197"/>
      <c r="S11" s="228">
        <v>8.5</v>
      </c>
      <c r="T11" s="229">
        <v>8.5</v>
      </c>
      <c r="U11" s="233"/>
      <c r="V11" s="197">
        <v>3</v>
      </c>
      <c r="W11" s="197"/>
      <c r="X11" s="197"/>
      <c r="Y11" s="197"/>
      <c r="Z11" s="228">
        <v>8.5</v>
      </c>
      <c r="AA11" s="228"/>
      <c r="AB11" s="197">
        <v>3</v>
      </c>
      <c r="AC11" s="197"/>
      <c r="AD11" s="197"/>
      <c r="AE11" s="197"/>
      <c r="AF11" s="197"/>
      <c r="AG11" s="224"/>
      <c r="AH11" s="189">
        <f>-(SUMIF(C11:AG11,"=年",C12:AG12))</f>
        <v>0</v>
      </c>
      <c r="AI11" s="193">
        <f>-(SUMIF(C11:AG11,"=调",C12:AG12))</f>
        <v>0</v>
      </c>
      <c r="AJ11" s="193">
        <f>-(SUMIF(C11:AG11,"=病",C12:AG12))</f>
        <v>0</v>
      </c>
      <c r="AK11" s="193">
        <f>-(SUMIF(C11:AG11,"=事",C12:AG12))</f>
        <v>0</v>
      </c>
      <c r="AL11" s="71">
        <f>SUMIF(C4:AG4,"P",C11:AG12)</f>
        <v>13</v>
      </c>
      <c r="AM11" s="46">
        <f>SUMIF(C4:AG4,"S",C11:AG12)</f>
        <v>51</v>
      </c>
      <c r="AN11" s="78">
        <f>SUMIF(C4:AG4,"G",C11:AG12)</f>
        <v>7</v>
      </c>
      <c r="AO11" s="167">
        <f>AH11</f>
        <v>0</v>
      </c>
      <c r="AP11" s="202"/>
    </row>
    <row r="12" spans="1:42" s="1" customFormat="1" ht="15.95" customHeight="1">
      <c r="A12" s="185"/>
      <c r="B12" s="186"/>
      <c r="C12" s="237"/>
      <c r="D12" s="225"/>
      <c r="E12" s="225"/>
      <c r="F12" s="198"/>
      <c r="G12" s="233"/>
      <c r="H12" s="198"/>
      <c r="I12" s="198"/>
      <c r="J12" s="233"/>
      <c r="K12" s="198"/>
      <c r="L12" s="225"/>
      <c r="M12" s="225"/>
      <c r="N12" s="233"/>
      <c r="O12" s="198"/>
      <c r="P12" s="198"/>
      <c r="Q12" s="233"/>
      <c r="R12" s="198"/>
      <c r="S12" s="228"/>
      <c r="T12" s="229"/>
      <c r="U12" s="233"/>
      <c r="V12" s="198"/>
      <c r="W12" s="198"/>
      <c r="X12" s="198"/>
      <c r="Y12" s="198"/>
      <c r="Z12" s="228"/>
      <c r="AA12" s="228"/>
      <c r="AB12" s="198"/>
      <c r="AC12" s="198"/>
      <c r="AD12" s="198"/>
      <c r="AE12" s="198"/>
      <c r="AF12" s="198"/>
      <c r="AG12" s="225"/>
      <c r="AH12" s="180"/>
      <c r="AI12" s="194"/>
      <c r="AJ12" s="194"/>
      <c r="AK12" s="194"/>
      <c r="AL12" s="190">
        <f>IF(SUM(C11:AG11)-AI11=0,"√",SUM(C11:AG11)-AI11)</f>
        <v>71</v>
      </c>
      <c r="AM12" s="191"/>
      <c r="AN12" s="200"/>
      <c r="AO12" s="168"/>
      <c r="AP12" s="203"/>
    </row>
    <row r="13" spans="1:42" s="1" customFormat="1" ht="15.95" customHeight="1">
      <c r="A13" s="182">
        <v>5</v>
      </c>
      <c r="B13" s="183" t="s">
        <v>6</v>
      </c>
      <c r="C13" s="238"/>
      <c r="D13" s="224">
        <v>8.5</v>
      </c>
      <c r="E13" s="224">
        <v>8.5</v>
      </c>
      <c r="F13" s="233"/>
      <c r="G13" s="233"/>
      <c r="H13" s="11" t="s">
        <v>21</v>
      </c>
      <c r="I13" s="197"/>
      <c r="J13" s="233"/>
      <c r="K13" s="197">
        <v>3</v>
      </c>
      <c r="L13" s="229">
        <v>8.5</v>
      </c>
      <c r="M13" s="229">
        <v>8.5</v>
      </c>
      <c r="N13" s="233"/>
      <c r="O13" s="197"/>
      <c r="P13" s="197"/>
      <c r="Q13" s="233"/>
      <c r="R13" s="204"/>
      <c r="S13" s="228">
        <v>8.5</v>
      </c>
      <c r="T13" s="228"/>
      <c r="U13" s="197"/>
      <c r="V13" s="197">
        <v>3</v>
      </c>
      <c r="W13" s="11" t="s">
        <v>22</v>
      </c>
      <c r="X13" s="197"/>
      <c r="Y13" s="204"/>
      <c r="Z13" s="228">
        <v>8.5</v>
      </c>
      <c r="AA13" s="228">
        <v>8.5</v>
      </c>
      <c r="AB13" s="197">
        <v>3</v>
      </c>
      <c r="AC13" s="197"/>
      <c r="AD13" s="197"/>
      <c r="AE13" s="204"/>
      <c r="AF13" s="54" t="s">
        <v>22</v>
      </c>
      <c r="AG13" s="229">
        <v>8.5</v>
      </c>
      <c r="AH13" s="164">
        <f>-(SUMIF(C13:AG13,"=年",C14:AG14))</f>
        <v>8</v>
      </c>
      <c r="AI13" s="166">
        <f>-(SUMIF(C13:AG13,"=调",C14:AG14))</f>
        <v>6</v>
      </c>
      <c r="AJ13" s="166">
        <f>-(SUMIF(C13:AG13,"=病",C14:AG14))</f>
        <v>0</v>
      </c>
      <c r="AK13" s="166">
        <f>-(SUMIF(C13:AG13,"=事",C14:AG14))</f>
        <v>0</v>
      </c>
      <c r="AL13" s="72">
        <f>SUMIF(C4:AG4,"P",C13:AG14)</f>
        <v>9</v>
      </c>
      <c r="AM13" s="68">
        <f>SUMIF(C4:AG4,"S",C13:AG14)</f>
        <v>68</v>
      </c>
      <c r="AN13" s="79">
        <f>SUMIF(C4:AG4,"G",C13:AG14)</f>
        <v>0</v>
      </c>
      <c r="AO13" s="167">
        <f>AH13</f>
        <v>8</v>
      </c>
      <c r="AP13" s="240"/>
    </row>
    <row r="14" spans="1:42" s="1" customFormat="1" ht="15.95" customHeight="1">
      <c r="A14" s="175"/>
      <c r="B14" s="177"/>
      <c r="C14" s="238"/>
      <c r="D14" s="225"/>
      <c r="E14" s="225"/>
      <c r="F14" s="233"/>
      <c r="G14" s="233"/>
      <c r="H14" s="15">
        <v>-8</v>
      </c>
      <c r="I14" s="198"/>
      <c r="J14" s="233"/>
      <c r="K14" s="198"/>
      <c r="L14" s="229"/>
      <c r="M14" s="229"/>
      <c r="N14" s="233"/>
      <c r="O14" s="198"/>
      <c r="P14" s="198"/>
      <c r="Q14" s="233"/>
      <c r="R14" s="204"/>
      <c r="S14" s="228"/>
      <c r="T14" s="228"/>
      <c r="U14" s="198"/>
      <c r="V14" s="198"/>
      <c r="W14" s="15">
        <v>-3</v>
      </c>
      <c r="X14" s="198"/>
      <c r="Y14" s="204"/>
      <c r="Z14" s="228"/>
      <c r="AA14" s="228"/>
      <c r="AB14" s="198"/>
      <c r="AC14" s="198"/>
      <c r="AD14" s="198"/>
      <c r="AE14" s="204"/>
      <c r="AF14" s="54">
        <v>-3</v>
      </c>
      <c r="AG14" s="229"/>
      <c r="AH14" s="164"/>
      <c r="AI14" s="166"/>
      <c r="AJ14" s="166"/>
      <c r="AK14" s="166"/>
      <c r="AL14" s="171">
        <f>IF(SUM(C13:AG13)-AI13=0,"√",SUM(C13:AG13)-AI13)</f>
        <v>71</v>
      </c>
      <c r="AM14" s="172"/>
      <c r="AN14" s="173"/>
      <c r="AO14" s="168"/>
      <c r="AP14" s="240"/>
    </row>
    <row r="15" spans="1:42" s="1" customFormat="1" ht="15.95" customHeight="1">
      <c r="A15" s="185">
        <v>6</v>
      </c>
      <c r="B15" s="186" t="s">
        <v>7</v>
      </c>
      <c r="C15" s="236">
        <v>3</v>
      </c>
      <c r="D15" s="224">
        <v>8.5</v>
      </c>
      <c r="E15" s="224">
        <v>8.5</v>
      </c>
      <c r="F15" s="233"/>
      <c r="G15" s="233"/>
      <c r="H15" s="197">
        <v>3</v>
      </c>
      <c r="I15" s="197"/>
      <c r="J15" s="233"/>
      <c r="K15" s="197"/>
      <c r="L15" s="228">
        <v>8.5</v>
      </c>
      <c r="M15" s="228">
        <v>8.5</v>
      </c>
      <c r="N15" s="233"/>
      <c r="O15" s="197"/>
      <c r="P15" s="197"/>
      <c r="Q15" s="233"/>
      <c r="R15" s="11"/>
      <c r="S15" s="228">
        <v>8.5</v>
      </c>
      <c r="T15" s="229">
        <v>8.5</v>
      </c>
      <c r="U15" s="197"/>
      <c r="V15" s="197">
        <v>3</v>
      </c>
      <c r="W15" s="197"/>
      <c r="X15" s="197">
        <v>3</v>
      </c>
      <c r="Y15" s="197"/>
      <c r="Z15" s="228">
        <v>8.5</v>
      </c>
      <c r="AA15" s="228"/>
      <c r="AB15" s="197">
        <v>3</v>
      </c>
      <c r="AC15" s="197"/>
      <c r="AD15" s="197"/>
      <c r="AE15" s="11"/>
      <c r="AF15" s="197"/>
      <c r="AG15" s="224">
        <v>8.5</v>
      </c>
      <c r="AH15" s="189">
        <f>-(SUMIF(C15:AG15,"=年",C16:AG16))</f>
        <v>0</v>
      </c>
      <c r="AI15" s="193">
        <f>-(SUMIF(C15:AG15,"=调",C16:AG16))</f>
        <v>0</v>
      </c>
      <c r="AJ15" s="193">
        <f>-(SUMIF(C15:AG15,"=病",C16:AG16))</f>
        <v>0</v>
      </c>
      <c r="AK15" s="193">
        <f>-(SUMIF(C15:AG15,"=事",C16:AG16))</f>
        <v>0</v>
      </c>
      <c r="AL15" s="71">
        <f>SUMIF(C4:AG4,"P",C15:AG16)</f>
        <v>12</v>
      </c>
      <c r="AM15" s="46">
        <f>SUMIF(C4:AG4,"S",C15:AG16)</f>
        <v>68</v>
      </c>
      <c r="AN15" s="78">
        <f>SUMIF(C4:AG4,"G",C15:AG16)</f>
        <v>3</v>
      </c>
      <c r="AO15" s="167">
        <f>AH15</f>
        <v>0</v>
      </c>
      <c r="AP15" s="195"/>
    </row>
    <row r="16" spans="1:42" s="1" customFormat="1" ht="15.95" customHeight="1">
      <c r="A16" s="185"/>
      <c r="B16" s="186"/>
      <c r="C16" s="237"/>
      <c r="D16" s="225"/>
      <c r="E16" s="225"/>
      <c r="F16" s="233"/>
      <c r="G16" s="233"/>
      <c r="H16" s="198"/>
      <c r="I16" s="198"/>
      <c r="J16" s="233"/>
      <c r="K16" s="198"/>
      <c r="L16" s="228"/>
      <c r="M16" s="228"/>
      <c r="N16" s="233"/>
      <c r="O16" s="198"/>
      <c r="P16" s="198"/>
      <c r="Q16" s="233"/>
      <c r="R16" s="15"/>
      <c r="S16" s="228"/>
      <c r="T16" s="229"/>
      <c r="U16" s="198"/>
      <c r="V16" s="198"/>
      <c r="W16" s="198"/>
      <c r="X16" s="198"/>
      <c r="Y16" s="198"/>
      <c r="Z16" s="228"/>
      <c r="AA16" s="228"/>
      <c r="AB16" s="198"/>
      <c r="AC16" s="198"/>
      <c r="AD16" s="198"/>
      <c r="AE16" s="15"/>
      <c r="AF16" s="198"/>
      <c r="AG16" s="225"/>
      <c r="AH16" s="180"/>
      <c r="AI16" s="194"/>
      <c r="AJ16" s="194"/>
      <c r="AK16" s="194"/>
      <c r="AL16" s="190">
        <f>IF(SUM(C15:AG15)-AI15=0,"√",SUM(C15:AG15)-AI15)</f>
        <v>83</v>
      </c>
      <c r="AM16" s="191"/>
      <c r="AN16" s="200"/>
      <c r="AO16" s="168"/>
      <c r="AP16" s="239"/>
    </row>
    <row r="17" spans="1:42" s="1" customFormat="1" ht="15.95" customHeight="1">
      <c r="A17" s="182">
        <v>7</v>
      </c>
      <c r="B17" s="183" t="s">
        <v>8</v>
      </c>
      <c r="C17" s="60"/>
      <c r="D17" s="229"/>
      <c r="E17" s="229"/>
      <c r="F17" s="233"/>
      <c r="G17" s="197"/>
      <c r="H17" s="197"/>
      <c r="I17" s="197"/>
      <c r="J17" s="16"/>
      <c r="K17" s="16"/>
      <c r="L17" s="85"/>
      <c r="M17" s="85"/>
      <c r="N17" s="16"/>
      <c r="O17" s="16"/>
      <c r="P17" s="16"/>
      <c r="Q17" s="16"/>
      <c r="R17" s="204"/>
      <c r="S17" s="85"/>
      <c r="T17" s="224"/>
      <c r="U17" s="197"/>
      <c r="V17" s="204"/>
      <c r="W17" s="204"/>
      <c r="X17" s="204"/>
      <c r="Y17" s="204"/>
      <c r="Z17" s="229"/>
      <c r="AA17" s="85"/>
      <c r="AB17" s="16"/>
      <c r="AC17" s="16"/>
      <c r="AD17" s="16"/>
      <c r="AE17" s="204"/>
      <c r="AF17" s="16"/>
      <c r="AG17" s="85"/>
      <c r="AH17" s="164">
        <f>-(SUMIF(C17:AG17,"=年",C18:AG18))</f>
        <v>0</v>
      </c>
      <c r="AI17" s="166">
        <f>-(SUMIF(C17:AG17,"=调",C18:AG18))</f>
        <v>0</v>
      </c>
      <c r="AJ17" s="166">
        <f>-(SUMIF(C17:AG17,"=病",C18:AG18))</f>
        <v>0</v>
      </c>
      <c r="AK17" s="166">
        <f>-(SUMIF(C17:AG17,"=事",C18:AG18))</f>
        <v>0</v>
      </c>
      <c r="AL17" s="72">
        <f>SUMIF(C4:AG4,"P",C17:AG18)</f>
        <v>0</v>
      </c>
      <c r="AM17" s="68">
        <f>SUMIF(C4:AG4,"S",C17:AG18)</f>
        <v>0</v>
      </c>
      <c r="AN17" s="79">
        <f>SUMIF(C4:AG4,"G",C17:AG18)</f>
        <v>0</v>
      </c>
      <c r="AO17" s="167">
        <f>AH17</f>
        <v>0</v>
      </c>
      <c r="AP17" s="170"/>
    </row>
    <row r="18" spans="1:42" s="1" customFormat="1" ht="15.95" customHeight="1">
      <c r="A18" s="175"/>
      <c r="B18" s="177"/>
      <c r="C18" s="60"/>
      <c r="D18" s="229"/>
      <c r="E18" s="229"/>
      <c r="F18" s="233"/>
      <c r="G18" s="198"/>
      <c r="H18" s="198"/>
      <c r="I18" s="198"/>
      <c r="J18" s="16"/>
      <c r="K18" s="16"/>
      <c r="L18" s="85"/>
      <c r="M18" s="85"/>
      <c r="N18" s="16"/>
      <c r="O18" s="16"/>
      <c r="P18" s="16"/>
      <c r="Q18" s="16"/>
      <c r="R18" s="204"/>
      <c r="S18" s="85"/>
      <c r="T18" s="225"/>
      <c r="U18" s="198"/>
      <c r="V18" s="204"/>
      <c r="W18" s="204"/>
      <c r="X18" s="204"/>
      <c r="Y18" s="204"/>
      <c r="Z18" s="229"/>
      <c r="AA18" s="85"/>
      <c r="AB18" s="16"/>
      <c r="AC18" s="16"/>
      <c r="AD18" s="16"/>
      <c r="AE18" s="204"/>
      <c r="AF18" s="16"/>
      <c r="AG18" s="85"/>
      <c r="AH18" s="164"/>
      <c r="AI18" s="166"/>
      <c r="AJ18" s="166"/>
      <c r="AK18" s="166"/>
      <c r="AL18" s="171" t="str">
        <f>IF(SUM(C17:AG17)-AI17=0,"√",SUM(C17:AG17)-AI17)</f>
        <v>√</v>
      </c>
      <c r="AM18" s="172"/>
      <c r="AN18" s="173"/>
      <c r="AO18" s="168"/>
      <c r="AP18" s="170"/>
    </row>
    <row r="19" spans="1:42" s="1" customFormat="1" ht="15.95" customHeight="1">
      <c r="A19" s="185">
        <v>8</v>
      </c>
      <c r="B19" s="186" t="s">
        <v>9</v>
      </c>
      <c r="C19" s="236"/>
      <c r="D19" s="86"/>
      <c r="E19" s="224">
        <v>8.5</v>
      </c>
      <c r="F19" s="233"/>
      <c r="G19" s="233"/>
      <c r="H19" s="197"/>
      <c r="I19" s="197"/>
      <c r="J19" s="233"/>
      <c r="K19" s="197"/>
      <c r="L19" s="224"/>
      <c r="M19" s="224">
        <v>8.5</v>
      </c>
      <c r="N19" s="197"/>
      <c r="O19" s="197">
        <v>3</v>
      </c>
      <c r="P19" s="197"/>
      <c r="Q19" s="197">
        <v>2</v>
      </c>
      <c r="R19" s="11"/>
      <c r="S19" s="228">
        <v>8.5</v>
      </c>
      <c r="T19" s="228"/>
      <c r="U19" s="233"/>
      <c r="V19" s="197"/>
      <c r="W19" s="197"/>
      <c r="X19" s="197">
        <v>3</v>
      </c>
      <c r="Y19" s="11"/>
      <c r="Z19" s="224"/>
      <c r="AA19" s="224"/>
      <c r="AB19" s="11"/>
      <c r="AC19" s="197"/>
      <c r="AD19" s="197"/>
      <c r="AE19" s="11"/>
      <c r="AF19" s="197"/>
      <c r="AG19" s="224"/>
      <c r="AH19" s="189">
        <f>-(SUMIF(C19:AG19,"=年",C20:AG20))</f>
        <v>0</v>
      </c>
      <c r="AI19" s="193">
        <f>-(SUMIF(C19:AG19,"=调",C20:AG20))</f>
        <v>0</v>
      </c>
      <c r="AJ19" s="193">
        <f>-(SUMIF(C19:AG19,"=病",C20:AG20))</f>
        <v>0</v>
      </c>
      <c r="AK19" s="193">
        <f>-(SUMIF(C19:AG19,"=事",C20:AG20))</f>
        <v>0</v>
      </c>
      <c r="AL19" s="71">
        <f>SUMIF(C4:AG4,"P",C19:AG20)</f>
        <v>8</v>
      </c>
      <c r="AM19" s="46">
        <f>SUMIF(C4:AG4,"S",C19:AG20)</f>
        <v>25.5</v>
      </c>
      <c r="AN19" s="78">
        <f>SUMIF(C4:AG4,"G",C19:AG20)</f>
        <v>0</v>
      </c>
      <c r="AO19" s="167">
        <f>AH19</f>
        <v>0</v>
      </c>
      <c r="AP19" s="205"/>
    </row>
    <row r="20" spans="1:42" s="1" customFormat="1" ht="15.95" customHeight="1">
      <c r="A20" s="185"/>
      <c r="B20" s="186"/>
      <c r="C20" s="237"/>
      <c r="D20" s="87"/>
      <c r="E20" s="225"/>
      <c r="F20" s="233"/>
      <c r="G20" s="233"/>
      <c r="H20" s="198"/>
      <c r="I20" s="198"/>
      <c r="J20" s="233"/>
      <c r="K20" s="198"/>
      <c r="L20" s="225"/>
      <c r="M20" s="225"/>
      <c r="N20" s="204"/>
      <c r="O20" s="198"/>
      <c r="P20" s="198"/>
      <c r="Q20" s="198"/>
      <c r="R20" s="15"/>
      <c r="S20" s="228"/>
      <c r="T20" s="228"/>
      <c r="U20" s="233"/>
      <c r="V20" s="198"/>
      <c r="W20" s="198"/>
      <c r="X20" s="198"/>
      <c r="Y20" s="15"/>
      <c r="Z20" s="225"/>
      <c r="AA20" s="225"/>
      <c r="AB20" s="15"/>
      <c r="AC20" s="198"/>
      <c r="AD20" s="198"/>
      <c r="AE20" s="15"/>
      <c r="AF20" s="198"/>
      <c r="AG20" s="225"/>
      <c r="AH20" s="180"/>
      <c r="AI20" s="194"/>
      <c r="AJ20" s="194"/>
      <c r="AK20" s="194"/>
      <c r="AL20" s="190">
        <f>IF(SUM(C19:AG19)-AI19=0,"√",SUM(C19:AG19)-AI19)</f>
        <v>33.5</v>
      </c>
      <c r="AM20" s="191"/>
      <c r="AN20" s="200"/>
      <c r="AO20" s="168"/>
      <c r="AP20" s="206"/>
    </row>
    <row r="21" spans="1:42" s="1" customFormat="1" ht="15.95" customHeight="1">
      <c r="A21" s="182">
        <v>9</v>
      </c>
      <c r="B21" s="183" t="s">
        <v>11</v>
      </c>
      <c r="C21" s="238"/>
      <c r="D21" s="224">
        <v>8.5</v>
      </c>
      <c r="E21" s="224">
        <v>8.5</v>
      </c>
      <c r="F21" s="233"/>
      <c r="G21" s="233"/>
      <c r="H21" s="197">
        <v>3</v>
      </c>
      <c r="I21" s="197"/>
      <c r="J21" s="233"/>
      <c r="K21" s="204"/>
      <c r="L21" s="228">
        <v>8.5</v>
      </c>
      <c r="M21" s="228">
        <v>8.5</v>
      </c>
      <c r="N21" s="11"/>
      <c r="O21" s="234"/>
      <c r="P21" s="197"/>
      <c r="Q21" s="233"/>
      <c r="R21" s="204"/>
      <c r="S21" s="229"/>
      <c r="T21" s="228">
        <v>8.5</v>
      </c>
      <c r="U21" s="197"/>
      <c r="V21" s="197">
        <v>3</v>
      </c>
      <c r="W21" s="197">
        <v>3</v>
      </c>
      <c r="X21" s="197"/>
      <c r="Y21" s="204"/>
      <c r="Z21" s="228">
        <v>8.5</v>
      </c>
      <c r="AA21" s="228">
        <v>8.5</v>
      </c>
      <c r="AB21" s="197">
        <v>3</v>
      </c>
      <c r="AC21" s="197"/>
      <c r="AD21" s="197"/>
      <c r="AE21" s="204"/>
      <c r="AF21" s="204"/>
      <c r="AG21" s="229">
        <v>8.5</v>
      </c>
      <c r="AH21" s="164">
        <f>-(SUMIF(C21:AG21,"=年",C22:AG22))</f>
        <v>0</v>
      </c>
      <c r="AI21" s="166">
        <f>-(SUMIF(C21:AG21,"=调",C22:AG22))</f>
        <v>0</v>
      </c>
      <c r="AJ21" s="166">
        <f>-(SUMIF(C21:AG21,"=病",C22:AG22))</f>
        <v>0</v>
      </c>
      <c r="AK21" s="166">
        <f>-(SUMIF(C21:AG21,"=事",C22:AG22))</f>
        <v>0</v>
      </c>
      <c r="AL21" s="72">
        <f>SUMIF(C4:AG4,"P",C21:AG22)</f>
        <v>12</v>
      </c>
      <c r="AM21" s="68">
        <f>SUMIF(C4:AG4,"S",C21:AG22)</f>
        <v>68</v>
      </c>
      <c r="AN21" s="79">
        <f>SUMIF(C4:AG4,"G",C21:AG22)</f>
        <v>0</v>
      </c>
      <c r="AO21" s="167">
        <f>AH21</f>
        <v>0</v>
      </c>
      <c r="AP21" s="201"/>
    </row>
    <row r="22" spans="1:42" s="1" customFormat="1" ht="15.95" customHeight="1">
      <c r="A22" s="175"/>
      <c r="B22" s="177"/>
      <c r="C22" s="238"/>
      <c r="D22" s="225"/>
      <c r="E22" s="225"/>
      <c r="F22" s="233"/>
      <c r="G22" s="233"/>
      <c r="H22" s="198"/>
      <c r="I22" s="198"/>
      <c r="J22" s="233"/>
      <c r="K22" s="204"/>
      <c r="L22" s="228"/>
      <c r="M22" s="228"/>
      <c r="N22" s="15"/>
      <c r="O22" s="235"/>
      <c r="P22" s="198"/>
      <c r="Q22" s="233"/>
      <c r="R22" s="204"/>
      <c r="S22" s="229"/>
      <c r="T22" s="228"/>
      <c r="U22" s="198"/>
      <c r="V22" s="198"/>
      <c r="W22" s="198"/>
      <c r="X22" s="198"/>
      <c r="Y22" s="204"/>
      <c r="Z22" s="228"/>
      <c r="AA22" s="228"/>
      <c r="AB22" s="198"/>
      <c r="AC22" s="198"/>
      <c r="AD22" s="198"/>
      <c r="AE22" s="204"/>
      <c r="AF22" s="204"/>
      <c r="AG22" s="229"/>
      <c r="AH22" s="164"/>
      <c r="AI22" s="166"/>
      <c r="AJ22" s="166"/>
      <c r="AK22" s="166"/>
      <c r="AL22" s="171">
        <f>IF(SUM(C21:AG21)-AI21=0,"√",SUM(C21:AG21)-AI21)</f>
        <v>80</v>
      </c>
      <c r="AM22" s="172"/>
      <c r="AN22" s="173"/>
      <c r="AO22" s="168"/>
      <c r="AP22" s="201"/>
    </row>
    <row r="23" spans="1:42" s="1" customFormat="1" ht="15.95" customHeight="1">
      <c r="A23" s="185">
        <v>10</v>
      </c>
      <c r="B23" s="186" t="s">
        <v>12</v>
      </c>
      <c r="C23" s="236"/>
      <c r="D23" s="224">
        <v>8.5</v>
      </c>
      <c r="E23" s="224">
        <v>8.5</v>
      </c>
      <c r="F23" s="233"/>
      <c r="G23" s="233"/>
      <c r="H23" s="197">
        <v>3</v>
      </c>
      <c r="I23" s="197"/>
      <c r="J23" s="233"/>
      <c r="K23" s="197"/>
      <c r="L23" s="228">
        <v>8.5</v>
      </c>
      <c r="M23" s="228">
        <v>8.5</v>
      </c>
      <c r="N23" s="198"/>
      <c r="O23" s="197"/>
      <c r="P23" s="197"/>
      <c r="Q23" s="197"/>
      <c r="R23" s="197"/>
      <c r="S23" s="228">
        <v>8.5</v>
      </c>
      <c r="T23" s="228">
        <v>8.5</v>
      </c>
      <c r="U23" s="197"/>
      <c r="V23" s="197">
        <v>3</v>
      </c>
      <c r="W23" s="197">
        <v>3</v>
      </c>
      <c r="X23" s="197"/>
      <c r="Y23" s="11"/>
      <c r="Z23" s="228"/>
      <c r="AA23" s="228">
        <v>8.5</v>
      </c>
      <c r="AB23" s="197">
        <v>3</v>
      </c>
      <c r="AC23" s="197"/>
      <c r="AD23" s="197"/>
      <c r="AE23" s="197"/>
      <c r="AF23" s="197"/>
      <c r="AG23" s="224">
        <v>8.5</v>
      </c>
      <c r="AH23" s="189">
        <f>-(SUMIF(C23:AG23,"=年",C24:AG24))</f>
        <v>0</v>
      </c>
      <c r="AI23" s="193">
        <f>-(SUMIF(C23:AG23,"=调",C24:AG24))</f>
        <v>0</v>
      </c>
      <c r="AJ23" s="193">
        <f>-(SUMIF(C23:AG23,"=病",C24:AG24))</f>
        <v>0</v>
      </c>
      <c r="AK23" s="193">
        <f>-(SUMIF(C23:AG23,"=事",C24:AG24))</f>
        <v>0</v>
      </c>
      <c r="AL23" s="71">
        <f>SUMIF(C4:AG4,"P",C23:AG24)</f>
        <v>12</v>
      </c>
      <c r="AM23" s="46">
        <f>SUMIF(C4:AG4,"S",C23:AG24)</f>
        <v>68</v>
      </c>
      <c r="AN23" s="78">
        <f>SUMIF(C4:AG4,"G",C23:AG24)</f>
        <v>0</v>
      </c>
      <c r="AO23" s="167">
        <f>AH23</f>
        <v>0</v>
      </c>
      <c r="AP23" s="217"/>
    </row>
    <row r="24" spans="1:42" s="1" customFormat="1" ht="15.95" customHeight="1">
      <c r="A24" s="185"/>
      <c r="B24" s="186"/>
      <c r="C24" s="237"/>
      <c r="D24" s="225"/>
      <c r="E24" s="225"/>
      <c r="F24" s="233"/>
      <c r="G24" s="233"/>
      <c r="H24" s="198"/>
      <c r="I24" s="198"/>
      <c r="J24" s="197"/>
      <c r="K24" s="198"/>
      <c r="L24" s="228"/>
      <c r="M24" s="228"/>
      <c r="N24" s="233"/>
      <c r="O24" s="198"/>
      <c r="P24" s="198"/>
      <c r="Q24" s="198"/>
      <c r="R24" s="198"/>
      <c r="S24" s="228"/>
      <c r="T24" s="228"/>
      <c r="U24" s="198"/>
      <c r="V24" s="198"/>
      <c r="W24" s="198"/>
      <c r="X24" s="198"/>
      <c r="Y24" s="15"/>
      <c r="Z24" s="228"/>
      <c r="AA24" s="228"/>
      <c r="AB24" s="198"/>
      <c r="AC24" s="198"/>
      <c r="AD24" s="198"/>
      <c r="AE24" s="198"/>
      <c r="AF24" s="198"/>
      <c r="AG24" s="225"/>
      <c r="AH24" s="180"/>
      <c r="AI24" s="194"/>
      <c r="AJ24" s="194"/>
      <c r="AK24" s="194"/>
      <c r="AL24" s="190">
        <f>IF(SUM(C23:AG23)-AI23=0,"√",SUM(C23:AG23)-AI23)</f>
        <v>80</v>
      </c>
      <c r="AM24" s="191"/>
      <c r="AN24" s="200"/>
      <c r="AO24" s="168"/>
      <c r="AP24" s="196"/>
    </row>
    <row r="25" spans="1:42" s="1" customFormat="1" ht="15.95" customHeight="1">
      <c r="A25" s="185">
        <v>11</v>
      </c>
      <c r="B25" s="186" t="s">
        <v>14</v>
      </c>
      <c r="C25" s="32"/>
      <c r="D25" s="224">
        <v>8.5</v>
      </c>
      <c r="E25" s="224">
        <v>8.5</v>
      </c>
      <c r="F25" s="233"/>
      <c r="G25" s="233"/>
      <c r="H25" s="197">
        <v>3</v>
      </c>
      <c r="I25" s="197"/>
      <c r="J25" s="11"/>
      <c r="K25" s="234"/>
      <c r="L25" s="228">
        <v>8.5</v>
      </c>
      <c r="M25" s="228">
        <v>8.5</v>
      </c>
      <c r="N25" s="233"/>
      <c r="O25" s="197"/>
      <c r="P25" s="197"/>
      <c r="Q25" s="233"/>
      <c r="R25" s="11"/>
      <c r="S25" s="228">
        <v>8.5</v>
      </c>
      <c r="T25" s="228">
        <v>8.5</v>
      </c>
      <c r="U25" s="233"/>
      <c r="V25" s="197">
        <v>3</v>
      </c>
      <c r="W25" s="197"/>
      <c r="X25" s="197">
        <v>3</v>
      </c>
      <c r="Y25" s="197"/>
      <c r="Z25" s="228">
        <v>8.5</v>
      </c>
      <c r="AA25" s="228">
        <v>8.5</v>
      </c>
      <c r="AB25" s="197">
        <v>3</v>
      </c>
      <c r="AC25" s="197"/>
      <c r="AD25" s="197"/>
      <c r="AE25" s="197"/>
      <c r="AF25" s="197"/>
      <c r="AG25" s="224">
        <v>8.5</v>
      </c>
      <c r="AH25" s="189">
        <f>-(SUMIF(C25:AG25,"=年",C26:AG26))</f>
        <v>0</v>
      </c>
      <c r="AI25" s="193">
        <f>-(SUMIF(C25:AG25,"=调",C26:AG26))</f>
        <v>0</v>
      </c>
      <c r="AJ25" s="193">
        <f>-(SUMIF(C25:AG25,"=病",C26:AG26))</f>
        <v>0</v>
      </c>
      <c r="AK25" s="193">
        <f>-(SUMIF(C25:AG25,"=事",C26:AG26))</f>
        <v>0</v>
      </c>
      <c r="AL25" s="71">
        <f>SUMIF(C4:AG4,"P",C25:AG26)</f>
        <v>12</v>
      </c>
      <c r="AM25" s="46">
        <f>SUMIF(C4:AG4,"S",C25:AG26)</f>
        <v>76.5</v>
      </c>
      <c r="AN25" s="78">
        <f>SUMIF(C4:AG4,"G",C25:AG26)</f>
        <v>0</v>
      </c>
      <c r="AO25" s="167">
        <f>AH25</f>
        <v>0</v>
      </c>
      <c r="AP25" s="217"/>
    </row>
    <row r="26" spans="1:42" s="1" customFormat="1" ht="15.95" customHeight="1">
      <c r="A26" s="185"/>
      <c r="B26" s="186"/>
      <c r="C26" s="31"/>
      <c r="D26" s="225"/>
      <c r="E26" s="225"/>
      <c r="F26" s="233"/>
      <c r="G26" s="233"/>
      <c r="H26" s="198"/>
      <c r="I26" s="198"/>
      <c r="J26" s="15"/>
      <c r="K26" s="235"/>
      <c r="L26" s="228"/>
      <c r="M26" s="228"/>
      <c r="N26" s="233"/>
      <c r="O26" s="198"/>
      <c r="P26" s="198"/>
      <c r="Q26" s="233"/>
      <c r="R26" s="15"/>
      <c r="S26" s="228"/>
      <c r="T26" s="228"/>
      <c r="U26" s="233"/>
      <c r="V26" s="198"/>
      <c r="W26" s="198"/>
      <c r="X26" s="198"/>
      <c r="Y26" s="198"/>
      <c r="Z26" s="228"/>
      <c r="AA26" s="228"/>
      <c r="AB26" s="198"/>
      <c r="AC26" s="198"/>
      <c r="AD26" s="198"/>
      <c r="AE26" s="198"/>
      <c r="AF26" s="198"/>
      <c r="AG26" s="225"/>
      <c r="AH26" s="180"/>
      <c r="AI26" s="194"/>
      <c r="AJ26" s="194"/>
      <c r="AK26" s="194"/>
      <c r="AL26" s="190">
        <f>IF(SUM(C25:AG25)-AI25=0,"√",SUM(C25:AG25)-AI25)</f>
        <v>88.5</v>
      </c>
      <c r="AM26" s="191"/>
      <c r="AN26" s="200"/>
      <c r="AO26" s="168"/>
      <c r="AP26" s="196"/>
    </row>
    <row r="27" spans="1:42" s="1" customFormat="1" ht="15.95" customHeight="1">
      <c r="A27" s="182">
        <v>12</v>
      </c>
      <c r="B27" s="183" t="s">
        <v>34</v>
      </c>
      <c r="C27" s="60"/>
      <c r="D27" s="229"/>
      <c r="E27" s="229"/>
      <c r="F27" s="197"/>
      <c r="G27" s="197"/>
      <c r="H27" s="16" t="s">
        <v>22</v>
      </c>
      <c r="I27" s="16"/>
      <c r="J27" s="16"/>
      <c r="K27" s="16"/>
      <c r="L27" s="85"/>
      <c r="M27" s="85"/>
      <c r="N27" s="16"/>
      <c r="O27" s="16" t="s">
        <v>22</v>
      </c>
      <c r="P27" s="197"/>
      <c r="Q27" s="204"/>
      <c r="R27" s="204"/>
      <c r="S27" s="85"/>
      <c r="T27" s="85"/>
      <c r="U27" s="16"/>
      <c r="V27" s="204"/>
      <c r="W27" s="16"/>
      <c r="X27" s="16" t="s">
        <v>22</v>
      </c>
      <c r="Y27" s="197">
        <v>1.5</v>
      </c>
      <c r="Z27" s="85"/>
      <c r="AA27" s="85"/>
      <c r="AB27" s="16"/>
      <c r="AC27" s="16"/>
      <c r="AD27" s="16"/>
      <c r="AE27" s="16"/>
      <c r="AF27" s="54" t="s">
        <v>22</v>
      </c>
      <c r="AG27" s="229"/>
      <c r="AH27" s="164">
        <f>-(SUMIF(C27:AG27,"=年",C28:AG28))</f>
        <v>0</v>
      </c>
      <c r="AI27" s="166">
        <f>-(SUMIF(C27:AG27,"=调",C28:AG28))</f>
        <v>6</v>
      </c>
      <c r="AJ27" s="166">
        <f>-(SUMIF(C27:AG27,"=病",C28:AG28))</f>
        <v>0</v>
      </c>
      <c r="AK27" s="166">
        <f>-(SUMIF(C27:AG27,"=事",C28:AG28))</f>
        <v>0</v>
      </c>
      <c r="AL27" s="72">
        <f>SUMIF(C4:AG4,"P",C27:AG28)</f>
        <v>1.5</v>
      </c>
      <c r="AM27" s="68">
        <f>SUMIF(C4:AG4,"S",C27:AG28)-AI27</f>
        <v>-6</v>
      </c>
      <c r="AN27" s="79">
        <f>SUMIF(C4:AG4,"G",C27:AG28)</f>
        <v>0</v>
      </c>
      <c r="AO27" s="168">
        <f>AH27</f>
        <v>0</v>
      </c>
      <c r="AP27" s="170"/>
    </row>
    <row r="28" spans="1:42" s="1" customFormat="1" ht="15.95" customHeight="1" thickBot="1">
      <c r="A28" s="231"/>
      <c r="B28" s="232"/>
      <c r="C28" s="33"/>
      <c r="D28" s="230"/>
      <c r="E28" s="230"/>
      <c r="F28" s="227"/>
      <c r="G28" s="227"/>
      <c r="H28" s="39">
        <v>-2</v>
      </c>
      <c r="I28" s="39"/>
      <c r="J28" s="39"/>
      <c r="K28" s="39"/>
      <c r="L28" s="88"/>
      <c r="M28" s="88"/>
      <c r="N28" s="39"/>
      <c r="O28" s="39">
        <v>-1.5</v>
      </c>
      <c r="P28" s="227"/>
      <c r="Q28" s="227"/>
      <c r="R28" s="227"/>
      <c r="S28" s="88"/>
      <c r="T28" s="88"/>
      <c r="U28" s="39"/>
      <c r="V28" s="227"/>
      <c r="W28" s="39"/>
      <c r="X28" s="39">
        <v>-1</v>
      </c>
      <c r="Y28" s="227"/>
      <c r="Z28" s="88"/>
      <c r="AA28" s="88"/>
      <c r="AB28" s="39"/>
      <c r="AC28" s="39"/>
      <c r="AD28" s="39"/>
      <c r="AE28" s="39"/>
      <c r="AF28" s="55">
        <v>-1.5</v>
      </c>
      <c r="AG28" s="230"/>
      <c r="AH28" s="223"/>
      <c r="AI28" s="211"/>
      <c r="AJ28" s="211"/>
      <c r="AK28" s="211"/>
      <c r="AL28" s="213">
        <f>IF(SUM(C27:AG27)-AI27=0,"√",SUM(C27:AG27)-AI27)</f>
        <v>-4.5</v>
      </c>
      <c r="AM28" s="214"/>
      <c r="AN28" s="215"/>
      <c r="AO28" s="212"/>
      <c r="AP28" s="226"/>
    </row>
    <row r="29" spans="1:42" ht="37.15" customHeight="1">
      <c r="A29" s="216" t="s">
        <v>31</v>
      </c>
      <c r="B29" s="216"/>
      <c r="C29" s="216"/>
      <c r="D29" s="216"/>
      <c r="E29" s="216"/>
      <c r="F29" s="216"/>
      <c r="G29" s="216"/>
      <c r="H29" s="216"/>
      <c r="I29" s="216"/>
      <c r="J29" s="216"/>
      <c r="K29" s="216"/>
      <c r="L29" s="216"/>
      <c r="M29" s="216"/>
      <c r="N29" s="216"/>
      <c r="O29" s="216"/>
      <c r="P29" s="216"/>
      <c r="Q29" s="216"/>
      <c r="R29" s="216"/>
      <c r="S29" s="216"/>
      <c r="T29" s="216"/>
      <c r="U29" s="216"/>
      <c r="V29" s="216"/>
      <c r="W29" s="216"/>
      <c r="X29" s="216"/>
      <c r="Y29" s="216"/>
      <c r="Z29" s="216"/>
      <c r="AA29" s="216"/>
      <c r="AB29" s="216"/>
      <c r="AC29" s="216"/>
      <c r="AD29" s="216"/>
      <c r="AE29" s="216"/>
      <c r="AF29" s="216"/>
      <c r="AG29" s="216"/>
      <c r="AH29" s="216"/>
      <c r="AI29" s="216"/>
      <c r="AJ29" s="216"/>
      <c r="AK29" s="216"/>
      <c r="AL29" s="216"/>
      <c r="AM29" s="216"/>
      <c r="AN29" s="216"/>
      <c r="AO29" s="216"/>
      <c r="AP29" s="216"/>
    </row>
    <row r="30" spans="1:42" ht="34.9" customHeight="1">
      <c r="A30" s="3" t="s">
        <v>13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P30" s="3"/>
      <c r="Q30" s="3"/>
      <c r="R30" s="3"/>
      <c r="S30" s="3" t="s">
        <v>23</v>
      </c>
      <c r="T30" s="3"/>
      <c r="U30" s="3"/>
      <c r="V30" s="3"/>
      <c r="W30" s="3"/>
      <c r="X30" s="3"/>
      <c r="Y30" s="3"/>
      <c r="Z30" s="3"/>
      <c r="AA30" s="3"/>
      <c r="AB30" s="3"/>
      <c r="AD30" s="3"/>
      <c r="AE30" s="3"/>
      <c r="AG30" s="4"/>
      <c r="AI30" s="4"/>
      <c r="AJ30" s="3" t="s">
        <v>10</v>
      </c>
      <c r="AK30" s="4"/>
      <c r="AL30" s="4"/>
      <c r="AM30" s="4"/>
      <c r="AN30" s="4"/>
      <c r="AO30" s="4"/>
      <c r="AP30" s="4"/>
    </row>
    <row r="31" spans="1:4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</row>
  </sheetData>
  <mergeCells count="397">
    <mergeCell ref="AK5:AK6"/>
    <mergeCell ref="AO5:AO6"/>
    <mergeCell ref="AP5:AP6"/>
    <mergeCell ref="AL6:AN6"/>
    <mergeCell ref="AH5:AH6"/>
    <mergeCell ref="AI5:AI6"/>
    <mergeCell ref="AJ5:AJ6"/>
    <mergeCell ref="A1:AP1"/>
    <mergeCell ref="A2:A4"/>
    <mergeCell ref="B2:B4"/>
    <mergeCell ref="C2:AG2"/>
    <mergeCell ref="AH2:AH4"/>
    <mergeCell ref="AI2:AI4"/>
    <mergeCell ref="AJ2:AJ4"/>
    <mergeCell ref="AK2:AK4"/>
    <mergeCell ref="AL2:AN2"/>
    <mergeCell ref="AO2:AO4"/>
    <mergeCell ref="AP2:AP4"/>
    <mergeCell ref="AL3:AL4"/>
    <mergeCell ref="AM3:AM4"/>
    <mergeCell ref="AN3:AN4"/>
    <mergeCell ref="A7:A8"/>
    <mergeCell ref="B7:B8"/>
    <mergeCell ref="D7:D8"/>
    <mergeCell ref="E7:E8"/>
    <mergeCell ref="F7:F8"/>
    <mergeCell ref="G7:G8"/>
    <mergeCell ref="Z5:Z6"/>
    <mergeCell ref="AB5:AB6"/>
    <mergeCell ref="AC5:AC6"/>
    <mergeCell ref="M5:M6"/>
    <mergeCell ref="N5:N6"/>
    <mergeCell ref="O5:O6"/>
    <mergeCell ref="R5:R6"/>
    <mergeCell ref="T5:T6"/>
    <mergeCell ref="Y5:Y6"/>
    <mergeCell ref="A5:A6"/>
    <mergeCell ref="B5:B6"/>
    <mergeCell ref="D5:D6"/>
    <mergeCell ref="E5:E6"/>
    <mergeCell ref="F5:F6"/>
    <mergeCell ref="L5:L6"/>
    <mergeCell ref="AP7:AP8"/>
    <mergeCell ref="AL8:AN8"/>
    <mergeCell ref="A9:A10"/>
    <mergeCell ref="B9:B10"/>
    <mergeCell ref="D9:D10"/>
    <mergeCell ref="E9:E10"/>
    <mergeCell ref="H9:H10"/>
    <mergeCell ref="V7:V8"/>
    <mergeCell ref="W7:W8"/>
    <mergeCell ref="X7:X8"/>
    <mergeCell ref="AG7:AG8"/>
    <mergeCell ref="AH7:AH8"/>
    <mergeCell ref="AI7:AI8"/>
    <mergeCell ref="O7:O8"/>
    <mergeCell ref="P7:P8"/>
    <mergeCell ref="Q7:Q8"/>
    <mergeCell ref="R7:R8"/>
    <mergeCell ref="S7:S8"/>
    <mergeCell ref="T7:T8"/>
    <mergeCell ref="H7:H8"/>
    <mergeCell ref="I7:I8"/>
    <mergeCell ref="J7:J8"/>
    <mergeCell ref="K7:K8"/>
    <mergeCell ref="L7:L8"/>
    <mergeCell ref="I9:I10"/>
    <mergeCell ref="L9:L10"/>
    <mergeCell ref="S9:S10"/>
    <mergeCell ref="T9:T10"/>
    <mergeCell ref="U9:U10"/>
    <mergeCell ref="X9:X10"/>
    <mergeCell ref="AJ7:AJ8"/>
    <mergeCell ref="AK7:AK8"/>
    <mergeCell ref="AO7:AO8"/>
    <mergeCell ref="M7:M8"/>
    <mergeCell ref="AI9:AI10"/>
    <mergeCell ref="AJ9:AJ10"/>
    <mergeCell ref="AK9:AK10"/>
    <mergeCell ref="AO9:AO10"/>
    <mergeCell ref="AP9:AP10"/>
    <mergeCell ref="AL10:AN10"/>
    <mergeCell ref="Y9:Y10"/>
    <mergeCell ref="AB9:AB10"/>
    <mergeCell ref="AE9:AE10"/>
    <mergeCell ref="AF9:AF10"/>
    <mergeCell ref="AG9:AG10"/>
    <mergeCell ref="AH9:AH10"/>
    <mergeCell ref="H11:H12"/>
    <mergeCell ref="I11:I12"/>
    <mergeCell ref="J11:J12"/>
    <mergeCell ref="K11:K12"/>
    <mergeCell ref="L11:L12"/>
    <mergeCell ref="M11:M12"/>
    <mergeCell ref="AF11:AF12"/>
    <mergeCell ref="AG11:AG12"/>
    <mergeCell ref="Z11:Z12"/>
    <mergeCell ref="AA11:AA12"/>
    <mergeCell ref="AB11:AB12"/>
    <mergeCell ref="AC11:AC12"/>
    <mergeCell ref="AD11:AD12"/>
    <mergeCell ref="AE11:AE12"/>
    <mergeCell ref="T11:T12"/>
    <mergeCell ref="U11:U12"/>
    <mergeCell ref="A11:A12"/>
    <mergeCell ref="B11:B12"/>
    <mergeCell ref="C11:C12"/>
    <mergeCell ref="D11:D12"/>
    <mergeCell ref="F11:F12"/>
    <mergeCell ref="G11:G12"/>
    <mergeCell ref="E11:E12"/>
    <mergeCell ref="A13:A14"/>
    <mergeCell ref="B13:B14"/>
    <mergeCell ref="C13:C14"/>
    <mergeCell ref="D13:D14"/>
    <mergeCell ref="E13:E14"/>
    <mergeCell ref="F13:F14"/>
    <mergeCell ref="G13:G14"/>
    <mergeCell ref="N11:N12"/>
    <mergeCell ref="O11:O12"/>
    <mergeCell ref="P11:P12"/>
    <mergeCell ref="I13:I14"/>
    <mergeCell ref="J13:J14"/>
    <mergeCell ref="L13:L14"/>
    <mergeCell ref="M13:M14"/>
    <mergeCell ref="N13:N14"/>
    <mergeCell ref="K13:K14"/>
    <mergeCell ref="AO11:AO12"/>
    <mergeCell ref="AP11:AP12"/>
    <mergeCell ref="AL12:AN12"/>
    <mergeCell ref="AH11:AH12"/>
    <mergeCell ref="AI11:AI12"/>
    <mergeCell ref="AJ11:AJ12"/>
    <mergeCell ref="AK11:AK12"/>
    <mergeCell ref="Q11:Q12"/>
    <mergeCell ref="R11:R12"/>
    <mergeCell ref="S11:S12"/>
    <mergeCell ref="V11:V12"/>
    <mergeCell ref="W11:W12"/>
    <mergeCell ref="X11:X12"/>
    <mergeCell ref="Y11:Y12"/>
    <mergeCell ref="Z13:Z14"/>
    <mergeCell ref="AA13:AA14"/>
    <mergeCell ref="O13:O14"/>
    <mergeCell ref="P13:P14"/>
    <mergeCell ref="Q13:Q14"/>
    <mergeCell ref="R13:R14"/>
    <mergeCell ref="T13:T14"/>
    <mergeCell ref="U13:U14"/>
    <mergeCell ref="S13:S14"/>
    <mergeCell ref="V13:V14"/>
    <mergeCell ref="X13:X14"/>
    <mergeCell ref="Y13:Y14"/>
    <mergeCell ref="AI13:AI14"/>
    <mergeCell ref="AJ13:AJ14"/>
    <mergeCell ref="AK13:AK14"/>
    <mergeCell ref="AO13:AO14"/>
    <mergeCell ref="AP13:AP14"/>
    <mergeCell ref="AL14:AN14"/>
    <mergeCell ref="AC13:AC14"/>
    <mergeCell ref="AD13:AD14"/>
    <mergeCell ref="AE13:AE14"/>
    <mergeCell ref="AG13:AG14"/>
    <mergeCell ref="AH13:AH14"/>
    <mergeCell ref="G15:G16"/>
    <mergeCell ref="H15:H16"/>
    <mergeCell ref="I15:I16"/>
    <mergeCell ref="J15:J16"/>
    <mergeCell ref="K15:K16"/>
    <mergeCell ref="L15:L16"/>
    <mergeCell ref="A15:A16"/>
    <mergeCell ref="B15:B16"/>
    <mergeCell ref="C15:C16"/>
    <mergeCell ref="D15:D16"/>
    <mergeCell ref="E15:E16"/>
    <mergeCell ref="F15:F16"/>
    <mergeCell ref="T15:T16"/>
    <mergeCell ref="U15:U16"/>
    <mergeCell ref="V15:V16"/>
    <mergeCell ref="W15:W16"/>
    <mergeCell ref="X15:X16"/>
    <mergeCell ref="Y15:Y16"/>
    <mergeCell ref="M15:M16"/>
    <mergeCell ref="N15:N16"/>
    <mergeCell ref="O15:O16"/>
    <mergeCell ref="P15:P16"/>
    <mergeCell ref="Q15:Q16"/>
    <mergeCell ref="S15:S16"/>
    <mergeCell ref="AH15:AH16"/>
    <mergeCell ref="AI15:AI16"/>
    <mergeCell ref="AJ15:AJ16"/>
    <mergeCell ref="AK15:AK16"/>
    <mergeCell ref="AO15:AO16"/>
    <mergeCell ref="AP15:AP16"/>
    <mergeCell ref="AL16:AN16"/>
    <mergeCell ref="AA15:AA16"/>
    <mergeCell ref="AB15:AB16"/>
    <mergeCell ref="AC15:AC16"/>
    <mergeCell ref="AD15:AD16"/>
    <mergeCell ref="AF15:AF16"/>
    <mergeCell ref="AG15:AG16"/>
    <mergeCell ref="AO17:AO18"/>
    <mergeCell ref="AP17:AP18"/>
    <mergeCell ref="AL18:AN18"/>
    <mergeCell ref="W17:W18"/>
    <mergeCell ref="X17:X18"/>
    <mergeCell ref="Y17:Y18"/>
    <mergeCell ref="Z17:Z18"/>
    <mergeCell ref="AE17:AE18"/>
    <mergeCell ref="AH17:AH18"/>
    <mergeCell ref="A19:A20"/>
    <mergeCell ref="B19:B20"/>
    <mergeCell ref="C19:C20"/>
    <mergeCell ref="E19:E20"/>
    <mergeCell ref="F19:F20"/>
    <mergeCell ref="G19:G20"/>
    <mergeCell ref="AI17:AI18"/>
    <mergeCell ref="AJ17:AJ18"/>
    <mergeCell ref="AK17:AK18"/>
    <mergeCell ref="H17:H18"/>
    <mergeCell ref="I17:I18"/>
    <mergeCell ref="R17:R18"/>
    <mergeCell ref="T17:T18"/>
    <mergeCell ref="U17:U18"/>
    <mergeCell ref="V17:V18"/>
    <mergeCell ref="A17:A18"/>
    <mergeCell ref="B17:B18"/>
    <mergeCell ref="D17:D18"/>
    <mergeCell ref="E17:E18"/>
    <mergeCell ref="F17:F18"/>
    <mergeCell ref="G17:G18"/>
    <mergeCell ref="AK19:AK20"/>
    <mergeCell ref="O21:O22"/>
    <mergeCell ref="P21:P22"/>
    <mergeCell ref="A21:A22"/>
    <mergeCell ref="B21:B22"/>
    <mergeCell ref="C21:C22"/>
    <mergeCell ref="D21:D22"/>
    <mergeCell ref="E21:E22"/>
    <mergeCell ref="F21:F22"/>
    <mergeCell ref="AD19:AD20"/>
    <mergeCell ref="V19:V20"/>
    <mergeCell ref="W19:W20"/>
    <mergeCell ref="X19:X20"/>
    <mergeCell ref="Z19:Z20"/>
    <mergeCell ref="AA19:AA20"/>
    <mergeCell ref="AC19:AC20"/>
    <mergeCell ref="N19:N20"/>
    <mergeCell ref="O19:O20"/>
    <mergeCell ref="P19:P20"/>
    <mergeCell ref="S19:S20"/>
    <mergeCell ref="T19:T20"/>
    <mergeCell ref="U19:U20"/>
    <mergeCell ref="Q19:Q20"/>
    <mergeCell ref="H19:H20"/>
    <mergeCell ref="I19:I20"/>
    <mergeCell ref="AO19:AO20"/>
    <mergeCell ref="AP19:AP20"/>
    <mergeCell ref="AL20:AN20"/>
    <mergeCell ref="AH19:AH20"/>
    <mergeCell ref="AI19:AI20"/>
    <mergeCell ref="AJ19:AJ20"/>
    <mergeCell ref="J19:J20"/>
    <mergeCell ref="K19:K20"/>
    <mergeCell ref="L19:L20"/>
    <mergeCell ref="M19:M20"/>
    <mergeCell ref="AF19:AF20"/>
    <mergeCell ref="AG19:AG20"/>
    <mergeCell ref="AP21:AP22"/>
    <mergeCell ref="AL22:AN22"/>
    <mergeCell ref="A23:A24"/>
    <mergeCell ref="B23:B24"/>
    <mergeCell ref="C23:C24"/>
    <mergeCell ref="E23:E24"/>
    <mergeCell ref="F23:F24"/>
    <mergeCell ref="G23:G24"/>
    <mergeCell ref="H23:H24"/>
    <mergeCell ref="I23:I24"/>
    <mergeCell ref="AG21:AG22"/>
    <mergeCell ref="AH21:AH22"/>
    <mergeCell ref="AI21:AI22"/>
    <mergeCell ref="AJ21:AJ22"/>
    <mergeCell ref="AK21:AK22"/>
    <mergeCell ref="AO21:AO22"/>
    <mergeCell ref="AA21:AA22"/>
    <mergeCell ref="AB21:AB22"/>
    <mergeCell ref="AC21:AC22"/>
    <mergeCell ref="AD21:AD22"/>
    <mergeCell ref="AE21:AE22"/>
    <mergeCell ref="G21:G22"/>
    <mergeCell ref="H21:H22"/>
    <mergeCell ref="I21:I22"/>
    <mergeCell ref="AF21:AF22"/>
    <mergeCell ref="T21:T22"/>
    <mergeCell ref="U21:U22"/>
    <mergeCell ref="R23:R24"/>
    <mergeCell ref="S23:S24"/>
    <mergeCell ref="T23:T24"/>
    <mergeCell ref="U23:U24"/>
    <mergeCell ref="J23:J24"/>
    <mergeCell ref="K23:K24"/>
    <mergeCell ref="L23:L24"/>
    <mergeCell ref="M23:M24"/>
    <mergeCell ref="N23:N24"/>
    <mergeCell ref="O23:O24"/>
    <mergeCell ref="Q21:Q22"/>
    <mergeCell ref="R21:R22"/>
    <mergeCell ref="S21:S22"/>
    <mergeCell ref="J21:J22"/>
    <mergeCell ref="K21:K22"/>
    <mergeCell ref="L21:L22"/>
    <mergeCell ref="V21:V22"/>
    <mergeCell ref="W21:W22"/>
    <mergeCell ref="X21:X22"/>
    <mergeCell ref="Y21:Y22"/>
    <mergeCell ref="M21:M22"/>
    <mergeCell ref="AJ23:AJ24"/>
    <mergeCell ref="AK23:AK24"/>
    <mergeCell ref="AO23:AO24"/>
    <mergeCell ref="AP23:AP24"/>
    <mergeCell ref="AL24:AN24"/>
    <mergeCell ref="A25:A26"/>
    <mergeCell ref="B25:B26"/>
    <mergeCell ref="D25:D26"/>
    <mergeCell ref="E25:E26"/>
    <mergeCell ref="F25:F26"/>
    <mergeCell ref="AD23:AD24"/>
    <mergeCell ref="AE23:AE24"/>
    <mergeCell ref="AF23:AF24"/>
    <mergeCell ref="AG23:AG24"/>
    <mergeCell ref="AH23:AH24"/>
    <mergeCell ref="AI23:AI24"/>
    <mergeCell ref="V23:V24"/>
    <mergeCell ref="W23:W24"/>
    <mergeCell ref="X23:X24"/>
    <mergeCell ref="Z23:Z24"/>
    <mergeCell ref="AA23:AA24"/>
    <mergeCell ref="AC23:AC24"/>
    <mergeCell ref="P23:P24"/>
    <mergeCell ref="Q23:Q24"/>
    <mergeCell ref="Q25:Q26"/>
    <mergeCell ref="T25:T26"/>
    <mergeCell ref="U25:U26"/>
    <mergeCell ref="G25:G26"/>
    <mergeCell ref="H25:H26"/>
    <mergeCell ref="I25:I26"/>
    <mergeCell ref="K25:K26"/>
    <mergeCell ref="L25:L26"/>
    <mergeCell ref="M25:M26"/>
    <mergeCell ref="AK25:AK26"/>
    <mergeCell ref="AO25:AO26"/>
    <mergeCell ref="AP25:AP26"/>
    <mergeCell ref="AL26:AN26"/>
    <mergeCell ref="A27:A28"/>
    <mergeCell ref="B27:B28"/>
    <mergeCell ref="D27:D28"/>
    <mergeCell ref="E27:E28"/>
    <mergeCell ref="F27:F28"/>
    <mergeCell ref="AC25:AC26"/>
    <mergeCell ref="AD25:AD26"/>
    <mergeCell ref="AE25:AE26"/>
    <mergeCell ref="AF25:AF26"/>
    <mergeCell ref="AH25:AH26"/>
    <mergeCell ref="AI25:AI26"/>
    <mergeCell ref="V25:V26"/>
    <mergeCell ref="W25:W26"/>
    <mergeCell ref="Y25:Y26"/>
    <mergeCell ref="Z25:Z26"/>
    <mergeCell ref="AA25:AA26"/>
    <mergeCell ref="AB25:AB26"/>
    <mergeCell ref="N25:N26"/>
    <mergeCell ref="O25:O26"/>
    <mergeCell ref="P25:P26"/>
    <mergeCell ref="D23:D24"/>
    <mergeCell ref="AG25:AG26"/>
    <mergeCell ref="AP27:AP28"/>
    <mergeCell ref="AL28:AN28"/>
    <mergeCell ref="A29:AP29"/>
    <mergeCell ref="AB23:AB24"/>
    <mergeCell ref="AB13:AB14"/>
    <mergeCell ref="Y27:Y28"/>
    <mergeCell ref="Z21:Z22"/>
    <mergeCell ref="Z15:Z16"/>
    <mergeCell ref="X25:X26"/>
    <mergeCell ref="S25:S26"/>
    <mergeCell ref="AG27:AG28"/>
    <mergeCell ref="AH27:AH28"/>
    <mergeCell ref="AI27:AI28"/>
    <mergeCell ref="AJ27:AJ28"/>
    <mergeCell ref="AK27:AK28"/>
    <mergeCell ref="AO27:AO28"/>
    <mergeCell ref="G27:G28"/>
    <mergeCell ref="P27:P28"/>
    <mergeCell ref="Q27:Q28"/>
    <mergeCell ref="R27:R28"/>
    <mergeCell ref="V27:V28"/>
    <mergeCell ref="AJ25:AJ26"/>
  </mergeCells>
  <phoneticPr fontId="8" type="noConversion"/>
  <conditionalFormatting sqref="C3 C5:C10 C17:C18 C25:C28">
    <cfRule type="expression" dxfId="33" priority="1">
      <formula>"C4=""S"""</formula>
    </cfRule>
  </conditionalFormatting>
  <pageMargins left="0.25138888888888899" right="0.25138888888888899" top="0.55486111111111103" bottom="0.55486111111111103" header="0.29861111111111099" footer="0.29861111111111099"/>
  <pageSetup paperSize="9" scale="73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70598-FF51-45B4-B904-C0A10D4A2A7A}">
  <sheetPr>
    <pageSetUpPr fitToPage="1"/>
  </sheetPr>
  <dimension ref="A1:AP31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O5" sqref="AO5:AO6"/>
    </sheetView>
  </sheetViews>
  <sheetFormatPr defaultColWidth="9" defaultRowHeight="14.25"/>
  <cols>
    <col min="1" max="1" width="6" bestFit="1" customWidth="1"/>
    <col min="2" max="2" width="8.125" customWidth="1"/>
    <col min="3" max="30" width="4.125" customWidth="1"/>
    <col min="31" max="33" width="1.625" customWidth="1"/>
    <col min="34" max="38" width="5.25" bestFit="1" customWidth="1"/>
    <col min="39" max="39" width="7.125" bestFit="1" customWidth="1"/>
    <col min="40" max="40" width="5.25" customWidth="1"/>
    <col min="41" max="42" width="5.25" bestFit="1" customWidth="1"/>
  </cols>
  <sheetData>
    <row r="1" spans="1:42" ht="84" customHeight="1" thickBot="1">
      <c r="A1" s="142" t="s">
        <v>15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  <c r="AD1" s="142"/>
      <c r="AE1" s="142"/>
      <c r="AF1" s="142"/>
      <c r="AG1" s="142"/>
      <c r="AH1" s="142"/>
      <c r="AI1" s="142"/>
      <c r="AJ1" s="142"/>
      <c r="AK1" s="142"/>
      <c r="AL1" s="142"/>
      <c r="AM1" s="142"/>
      <c r="AN1" s="142"/>
      <c r="AO1" s="142"/>
      <c r="AP1" s="142"/>
    </row>
    <row r="2" spans="1:42" ht="31.5" customHeight="1">
      <c r="A2" s="144" t="s">
        <v>0</v>
      </c>
      <c r="B2" s="243" t="s">
        <v>1</v>
      </c>
      <c r="C2" s="244" t="s">
        <v>36</v>
      </c>
      <c r="D2" s="245"/>
      <c r="E2" s="245"/>
      <c r="F2" s="245"/>
      <c r="G2" s="245"/>
      <c r="H2" s="245"/>
      <c r="I2" s="245"/>
      <c r="J2" s="245"/>
      <c r="K2" s="245"/>
      <c r="L2" s="245"/>
      <c r="M2" s="245"/>
      <c r="N2" s="245"/>
      <c r="O2" s="245"/>
      <c r="P2" s="245"/>
      <c r="Q2" s="245"/>
      <c r="R2" s="245"/>
      <c r="S2" s="245"/>
      <c r="T2" s="245"/>
      <c r="U2" s="245"/>
      <c r="V2" s="245"/>
      <c r="W2" s="245"/>
      <c r="X2" s="245"/>
      <c r="Y2" s="245"/>
      <c r="Z2" s="245"/>
      <c r="AA2" s="245"/>
      <c r="AB2" s="245"/>
      <c r="AC2" s="245"/>
      <c r="AD2" s="245"/>
      <c r="AE2" s="245"/>
      <c r="AF2" s="245"/>
      <c r="AG2" s="245"/>
      <c r="AH2" s="246" t="s">
        <v>17</v>
      </c>
      <c r="AI2" s="246" t="s">
        <v>18</v>
      </c>
      <c r="AJ2" s="246" t="s">
        <v>19</v>
      </c>
      <c r="AK2" s="246" t="s">
        <v>20</v>
      </c>
      <c r="AL2" s="248" t="s">
        <v>33</v>
      </c>
      <c r="AM2" s="249"/>
      <c r="AN2" s="250"/>
      <c r="AO2" s="251" t="s">
        <v>16</v>
      </c>
      <c r="AP2" s="156" t="s">
        <v>24</v>
      </c>
    </row>
    <row r="3" spans="1:42">
      <c r="A3" s="144"/>
      <c r="B3" s="146"/>
      <c r="C3" s="51">
        <v>1</v>
      </c>
      <c r="D3" s="48">
        <v>2</v>
      </c>
      <c r="E3" s="48">
        <v>3</v>
      </c>
      <c r="F3" s="48">
        <v>4</v>
      </c>
      <c r="G3" s="48">
        <v>5</v>
      </c>
      <c r="H3" s="48">
        <v>6</v>
      </c>
      <c r="I3" s="48">
        <v>7</v>
      </c>
      <c r="J3" s="48">
        <v>8</v>
      </c>
      <c r="K3" s="48">
        <v>9</v>
      </c>
      <c r="L3" s="48">
        <v>10</v>
      </c>
      <c r="M3" s="48">
        <v>11</v>
      </c>
      <c r="N3" s="48">
        <v>12</v>
      </c>
      <c r="O3" s="48">
        <v>13</v>
      </c>
      <c r="P3" s="48">
        <v>14</v>
      </c>
      <c r="Q3" s="48">
        <v>15</v>
      </c>
      <c r="R3" s="48">
        <v>16</v>
      </c>
      <c r="S3" s="82">
        <v>17</v>
      </c>
      <c r="T3" s="48">
        <v>18</v>
      </c>
      <c r="U3" s="48">
        <v>19</v>
      </c>
      <c r="V3" s="81">
        <v>20</v>
      </c>
      <c r="W3" s="48">
        <v>21</v>
      </c>
      <c r="X3" s="48">
        <v>22</v>
      </c>
      <c r="Y3" s="48">
        <v>23</v>
      </c>
      <c r="Z3" s="48">
        <v>24</v>
      </c>
      <c r="AA3" s="49">
        <v>25</v>
      </c>
      <c r="AB3" s="49">
        <v>26</v>
      </c>
      <c r="AC3" s="48">
        <v>27</v>
      </c>
      <c r="AD3" s="49">
        <v>28</v>
      </c>
      <c r="AE3" s="48">
        <v>29</v>
      </c>
      <c r="AF3" s="48">
        <v>30</v>
      </c>
      <c r="AG3" s="48">
        <v>31</v>
      </c>
      <c r="AH3" s="247"/>
      <c r="AI3" s="246"/>
      <c r="AJ3" s="246"/>
      <c r="AK3" s="246"/>
      <c r="AL3" s="252" t="s">
        <v>26</v>
      </c>
      <c r="AM3" s="254" t="s">
        <v>32</v>
      </c>
      <c r="AN3" s="256" t="s">
        <v>27</v>
      </c>
      <c r="AO3" s="153"/>
      <c r="AP3" s="156"/>
    </row>
    <row r="4" spans="1:42" ht="15" thickBot="1">
      <c r="A4" s="144"/>
      <c r="B4" s="146"/>
      <c r="C4" s="59" t="s">
        <v>30</v>
      </c>
      <c r="D4" s="59" t="s">
        <v>29</v>
      </c>
      <c r="E4" s="59" t="s">
        <v>29</v>
      </c>
      <c r="F4" s="59" t="s">
        <v>29</v>
      </c>
      <c r="G4" s="59" t="s">
        <v>29</v>
      </c>
      <c r="H4" s="59" t="s">
        <v>29</v>
      </c>
      <c r="I4" s="59" t="s">
        <v>30</v>
      </c>
      <c r="J4" s="59" t="s">
        <v>30</v>
      </c>
      <c r="K4" s="59" t="s">
        <v>29</v>
      </c>
      <c r="L4" s="59" t="s">
        <v>29</v>
      </c>
      <c r="M4" s="59" t="s">
        <v>29</v>
      </c>
      <c r="N4" s="59" t="s">
        <v>29</v>
      </c>
      <c r="O4" s="59" t="s">
        <v>29</v>
      </c>
      <c r="P4" s="59" t="s">
        <v>29</v>
      </c>
      <c r="Q4" s="59" t="s">
        <v>30</v>
      </c>
      <c r="R4" s="59" t="s">
        <v>28</v>
      </c>
      <c r="S4" s="83" t="s">
        <v>28</v>
      </c>
      <c r="T4" s="83" t="s">
        <v>28</v>
      </c>
      <c r="U4" s="83" t="s">
        <v>28</v>
      </c>
      <c r="V4" s="59" t="s">
        <v>30</v>
      </c>
      <c r="W4" s="59" t="s">
        <v>30</v>
      </c>
      <c r="X4" s="59" t="s">
        <v>30</v>
      </c>
      <c r="Y4" s="59" t="s">
        <v>30</v>
      </c>
      <c r="Z4" s="59" t="s">
        <v>29</v>
      </c>
      <c r="AA4" s="59" t="s">
        <v>29</v>
      </c>
      <c r="AB4" s="59" t="s">
        <v>29</v>
      </c>
      <c r="AC4" s="59" t="s">
        <v>29</v>
      </c>
      <c r="AD4" s="59" t="s">
        <v>29</v>
      </c>
      <c r="AE4" s="59"/>
      <c r="AF4" s="59"/>
      <c r="AG4" s="59"/>
      <c r="AH4" s="247"/>
      <c r="AI4" s="246"/>
      <c r="AJ4" s="246"/>
      <c r="AK4" s="246"/>
      <c r="AL4" s="253"/>
      <c r="AM4" s="255"/>
      <c r="AN4" s="257"/>
      <c r="AO4" s="154"/>
      <c r="AP4" s="156"/>
    </row>
    <row r="5" spans="1:42" s="1" customFormat="1" ht="15.95" customHeight="1">
      <c r="A5" s="174">
        <v>1</v>
      </c>
      <c r="B5" s="176" t="s">
        <v>2</v>
      </c>
      <c r="C5" s="89"/>
      <c r="D5" s="242"/>
      <c r="E5" s="242"/>
      <c r="F5" s="242"/>
      <c r="G5" s="64"/>
      <c r="H5" s="63"/>
      <c r="I5" s="84"/>
      <c r="J5" s="84"/>
      <c r="K5" s="64"/>
      <c r="L5" s="242"/>
      <c r="M5" s="242"/>
      <c r="N5" s="242"/>
      <c r="O5" s="242"/>
      <c r="P5" s="64"/>
      <c r="Q5" s="84"/>
      <c r="R5" s="264"/>
      <c r="S5" s="73"/>
      <c r="T5" s="258"/>
      <c r="U5" s="73"/>
      <c r="V5" s="84"/>
      <c r="W5" s="84"/>
      <c r="X5" s="84"/>
      <c r="Y5" s="241"/>
      <c r="Z5" s="242"/>
      <c r="AA5" s="64"/>
      <c r="AB5" s="242"/>
      <c r="AC5" s="242"/>
      <c r="AD5" s="64"/>
      <c r="AE5" s="84"/>
      <c r="AF5" s="84"/>
      <c r="AG5" s="84"/>
      <c r="AH5" s="163">
        <f>-(SUMIF(C5:AG5,"=年",C6:AG6))</f>
        <v>0</v>
      </c>
      <c r="AI5" s="165">
        <f>-(SUMIF(C5:AG5,"=调",C6:AG6))</f>
        <v>0</v>
      </c>
      <c r="AJ5" s="165">
        <f>-(SUMIF(C5:AG5,"=病",C6:AG6))</f>
        <v>0</v>
      </c>
      <c r="AK5" s="165">
        <f>-(SUMIF(C5:AG5,"=事",C6:AG6))</f>
        <v>0</v>
      </c>
      <c r="AL5" s="70">
        <f>SUMIF(C4:AG4,"P",C5:AG6)</f>
        <v>0</v>
      </c>
      <c r="AM5" s="67">
        <f>SUMIF(C4:AG4,"S",C5:AG6)</f>
        <v>0</v>
      </c>
      <c r="AN5" s="77">
        <f>SUMIF(C4:AG4,"G",C5:AG6)</f>
        <v>0</v>
      </c>
      <c r="AO5" s="167">
        <f>AH5+'2026-01'!AO5</f>
        <v>0</v>
      </c>
      <c r="AP5" s="169"/>
    </row>
    <row r="6" spans="1:42" s="1" customFormat="1" ht="15.95" customHeight="1">
      <c r="A6" s="175"/>
      <c r="B6" s="177"/>
      <c r="C6" s="90"/>
      <c r="D6" s="204"/>
      <c r="E6" s="204"/>
      <c r="F6" s="204"/>
      <c r="G6" s="16"/>
      <c r="H6" s="37"/>
      <c r="I6" s="85"/>
      <c r="J6" s="85"/>
      <c r="K6" s="16"/>
      <c r="L6" s="204"/>
      <c r="M6" s="204"/>
      <c r="N6" s="198"/>
      <c r="O6" s="198"/>
      <c r="P6" s="16"/>
      <c r="Q6" s="85"/>
      <c r="R6" s="258"/>
      <c r="S6" s="75"/>
      <c r="T6" s="258"/>
      <c r="U6" s="75"/>
      <c r="V6" s="85"/>
      <c r="W6" s="85"/>
      <c r="X6" s="85"/>
      <c r="Y6" s="229"/>
      <c r="Z6" s="204"/>
      <c r="AA6" s="15"/>
      <c r="AB6" s="204"/>
      <c r="AC6" s="204"/>
      <c r="AD6" s="16"/>
      <c r="AE6" s="85"/>
      <c r="AF6" s="85"/>
      <c r="AG6" s="85"/>
      <c r="AH6" s="164"/>
      <c r="AI6" s="166"/>
      <c r="AJ6" s="166"/>
      <c r="AK6" s="166"/>
      <c r="AL6" s="171" t="str">
        <f>IF(SUM(C5:AG5)-AI5=0,"√",SUM(C5:AG5)-AI5)</f>
        <v>√</v>
      </c>
      <c r="AM6" s="172"/>
      <c r="AN6" s="173"/>
      <c r="AO6" s="168"/>
      <c r="AP6" s="170"/>
    </row>
    <row r="7" spans="1:42" s="1" customFormat="1" ht="15.95" customHeight="1">
      <c r="A7" s="185">
        <v>2</v>
      </c>
      <c r="B7" s="186" t="s">
        <v>3</v>
      </c>
      <c r="C7" s="91"/>
      <c r="D7" s="197"/>
      <c r="E7" s="197"/>
      <c r="F7" s="18" t="s">
        <v>21</v>
      </c>
      <c r="G7" s="18" t="s">
        <v>21</v>
      </c>
      <c r="H7" s="18" t="s">
        <v>21</v>
      </c>
      <c r="I7" s="224"/>
      <c r="J7" s="224"/>
      <c r="K7" s="197"/>
      <c r="L7" s="197"/>
      <c r="M7" s="197"/>
      <c r="N7" s="11"/>
      <c r="O7" s="197"/>
      <c r="P7" s="197"/>
      <c r="Q7" s="224"/>
      <c r="R7" s="260"/>
      <c r="S7" s="260"/>
      <c r="T7" s="260"/>
      <c r="U7" s="73"/>
      <c r="V7" s="224"/>
      <c r="W7" s="224"/>
      <c r="X7" s="224"/>
      <c r="Y7" s="95"/>
      <c r="Z7" s="11"/>
      <c r="AA7" s="16" t="s">
        <v>21</v>
      </c>
      <c r="AB7" s="11"/>
      <c r="AC7" s="11"/>
      <c r="AD7" s="11" t="s">
        <v>21</v>
      </c>
      <c r="AE7" s="86"/>
      <c r="AF7" s="86"/>
      <c r="AG7" s="224"/>
      <c r="AH7" s="189">
        <f>-(SUMIF(C7:AG7,"=年",C8:AG8))</f>
        <v>36</v>
      </c>
      <c r="AI7" s="193">
        <f>-(SUMIF(C7:AG7,"=调",C8:AG8))</f>
        <v>0</v>
      </c>
      <c r="AJ7" s="193">
        <f>-(SUMIF(C7:AG7,"=病",C8:AG8))</f>
        <v>0</v>
      </c>
      <c r="AK7" s="193">
        <f>-(SUMIF(C7:AG7,"=事",C8:AG8))</f>
        <v>0</v>
      </c>
      <c r="AL7" s="71">
        <f>SUMIF(C4:AG4,"P",C7:AG8)</f>
        <v>0</v>
      </c>
      <c r="AM7" s="57">
        <f>SUMIF(C4:AG4,"S",C7:AG8)</f>
        <v>0</v>
      </c>
      <c r="AN7" s="78">
        <f>SUMIF(C4:AG4,"G",C7:AG8)</f>
        <v>0</v>
      </c>
      <c r="AO7" s="167">
        <f>AH7+'2026-01'!AO7</f>
        <v>36</v>
      </c>
      <c r="AP7" s="217"/>
    </row>
    <row r="8" spans="1:42" s="1" customFormat="1" ht="15.95" customHeight="1">
      <c r="A8" s="185"/>
      <c r="B8" s="186"/>
      <c r="C8" s="92"/>
      <c r="D8" s="198"/>
      <c r="E8" s="198"/>
      <c r="F8" s="50">
        <v>-8</v>
      </c>
      <c r="G8" s="50">
        <v>-8</v>
      </c>
      <c r="H8" s="50">
        <v>-8</v>
      </c>
      <c r="I8" s="225"/>
      <c r="J8" s="225"/>
      <c r="K8" s="198"/>
      <c r="L8" s="198"/>
      <c r="M8" s="198"/>
      <c r="N8" s="15"/>
      <c r="O8" s="198"/>
      <c r="P8" s="198"/>
      <c r="Q8" s="225"/>
      <c r="R8" s="261"/>
      <c r="S8" s="261"/>
      <c r="T8" s="261"/>
      <c r="U8" s="75"/>
      <c r="V8" s="225"/>
      <c r="W8" s="225"/>
      <c r="X8" s="225"/>
      <c r="Y8" s="96"/>
      <c r="Z8" s="15"/>
      <c r="AA8" s="15">
        <v>-8</v>
      </c>
      <c r="AB8" s="15"/>
      <c r="AC8" s="15"/>
      <c r="AD8" s="15">
        <v>-4</v>
      </c>
      <c r="AE8" s="87"/>
      <c r="AF8" s="87"/>
      <c r="AG8" s="225"/>
      <c r="AH8" s="180"/>
      <c r="AI8" s="194"/>
      <c r="AJ8" s="194"/>
      <c r="AK8" s="194"/>
      <c r="AL8" s="190" t="str">
        <f>IF(SUM(C7:AG7)-AI7=0,"√",SUM(C7:AG7)-AI7)</f>
        <v>√</v>
      </c>
      <c r="AM8" s="191"/>
      <c r="AN8" s="192"/>
      <c r="AO8" s="168"/>
      <c r="AP8" s="196"/>
    </row>
    <row r="9" spans="1:42" s="1" customFormat="1" ht="15.95" customHeight="1">
      <c r="A9" s="182">
        <v>3</v>
      </c>
      <c r="B9" s="183" t="s">
        <v>4</v>
      </c>
      <c r="C9" s="93"/>
      <c r="D9" s="204"/>
      <c r="E9" s="204"/>
      <c r="F9" s="16" t="s">
        <v>21</v>
      </c>
      <c r="G9" s="16" t="s">
        <v>21</v>
      </c>
      <c r="H9" s="197"/>
      <c r="I9" s="224">
        <v>8.5</v>
      </c>
      <c r="J9" s="85"/>
      <c r="K9" s="16"/>
      <c r="L9" s="204"/>
      <c r="M9" s="16"/>
      <c r="N9" s="16"/>
      <c r="O9" s="16"/>
      <c r="P9" s="16"/>
      <c r="Q9" s="85"/>
      <c r="R9" s="73"/>
      <c r="S9" s="258"/>
      <c r="T9" s="260"/>
      <c r="U9" s="260"/>
      <c r="V9" s="85"/>
      <c r="W9" s="85"/>
      <c r="X9" s="229"/>
      <c r="Y9" s="229"/>
      <c r="Z9" s="16"/>
      <c r="AA9" s="16"/>
      <c r="AB9" s="204"/>
      <c r="AC9" s="16"/>
      <c r="AD9" s="16"/>
      <c r="AE9" s="229"/>
      <c r="AF9" s="229"/>
      <c r="AG9" s="229"/>
      <c r="AH9" s="164">
        <f>-(SUMIF(C9:AG9,"=年",C10:AG10))</f>
        <v>6</v>
      </c>
      <c r="AI9" s="166">
        <f>-(SUMIF(C9:AG9,"=调",C10:AG10))</f>
        <v>0</v>
      </c>
      <c r="AJ9" s="166">
        <f>-(SUMIF(C9:AG9,"=病",C10:AG10))</f>
        <v>0</v>
      </c>
      <c r="AK9" s="166">
        <f>-(SUMIF(C9:AG9,"=事",C10:AG10))</f>
        <v>0</v>
      </c>
      <c r="AL9" s="72">
        <f>SUMIF(C4:AG4,"P",C9:AG10)</f>
        <v>0</v>
      </c>
      <c r="AM9" s="68">
        <f>SUMIF(C4:AG4,"S",C9:AG10)</f>
        <v>8.5</v>
      </c>
      <c r="AN9" s="79">
        <f>SUMIF(C4:AG4,"G",C9:AG10)</f>
        <v>0</v>
      </c>
      <c r="AO9" s="167">
        <f>AH9+'2026-01'!AO9</f>
        <v>6</v>
      </c>
      <c r="AP9" s="170"/>
    </row>
    <row r="10" spans="1:42" s="1" customFormat="1" ht="15.95" customHeight="1">
      <c r="A10" s="175"/>
      <c r="B10" s="177"/>
      <c r="C10" s="93"/>
      <c r="D10" s="204"/>
      <c r="E10" s="204"/>
      <c r="F10" s="16">
        <v>-3</v>
      </c>
      <c r="G10" s="16">
        <v>-3</v>
      </c>
      <c r="H10" s="198"/>
      <c r="I10" s="225"/>
      <c r="J10" s="85"/>
      <c r="K10" s="16"/>
      <c r="L10" s="204"/>
      <c r="M10" s="16"/>
      <c r="N10" s="16"/>
      <c r="O10" s="16"/>
      <c r="P10" s="16"/>
      <c r="Q10" s="85"/>
      <c r="R10" s="73"/>
      <c r="S10" s="258"/>
      <c r="T10" s="261"/>
      <c r="U10" s="261"/>
      <c r="V10" s="85"/>
      <c r="W10" s="85"/>
      <c r="X10" s="229"/>
      <c r="Y10" s="229"/>
      <c r="Z10" s="16"/>
      <c r="AA10" s="16"/>
      <c r="AB10" s="204"/>
      <c r="AC10" s="16"/>
      <c r="AD10" s="16"/>
      <c r="AE10" s="229"/>
      <c r="AF10" s="229"/>
      <c r="AG10" s="229"/>
      <c r="AH10" s="164"/>
      <c r="AI10" s="166"/>
      <c r="AJ10" s="166"/>
      <c r="AK10" s="166"/>
      <c r="AL10" s="171">
        <f>IF(SUM(C9:AG9)-AI9=0,"√",SUM(C9:AG9)-AI9)</f>
        <v>8.5</v>
      </c>
      <c r="AM10" s="172"/>
      <c r="AN10" s="173"/>
      <c r="AO10" s="168"/>
      <c r="AP10" s="170"/>
    </row>
    <row r="11" spans="1:42" s="1" customFormat="1" ht="15.95" customHeight="1">
      <c r="A11" s="185">
        <v>4</v>
      </c>
      <c r="B11" s="186" t="s">
        <v>5</v>
      </c>
      <c r="C11" s="224">
        <v>8.5</v>
      </c>
      <c r="D11" s="197"/>
      <c r="E11" s="197"/>
      <c r="F11" s="233"/>
      <c r="G11" s="233"/>
      <c r="H11" s="197"/>
      <c r="I11" s="224">
        <v>8.5</v>
      </c>
      <c r="J11" s="224">
        <v>8.5</v>
      </c>
      <c r="K11" s="197"/>
      <c r="L11" s="197"/>
      <c r="M11" s="197"/>
      <c r="N11" s="233"/>
      <c r="O11" s="197"/>
      <c r="P11" s="224">
        <v>8.5</v>
      </c>
      <c r="Q11" s="224">
        <v>8.5</v>
      </c>
      <c r="R11" s="260"/>
      <c r="S11" s="262"/>
      <c r="T11" s="258"/>
      <c r="U11" s="262"/>
      <c r="V11" s="224"/>
      <c r="W11" s="224"/>
      <c r="X11" s="224">
        <v>8.5</v>
      </c>
      <c r="Y11" s="224">
        <v>8.5</v>
      </c>
      <c r="Z11" s="233"/>
      <c r="AA11" s="233"/>
      <c r="AB11" s="197"/>
      <c r="AC11" s="197"/>
      <c r="AD11" s="197"/>
      <c r="AE11" s="224"/>
      <c r="AF11" s="224"/>
      <c r="AG11" s="224"/>
      <c r="AH11" s="189">
        <f>-(SUMIF(C11:AG11,"=年",C12:AG12))</f>
        <v>0</v>
      </c>
      <c r="AI11" s="193">
        <f>-(SUMIF(C11:AG11,"=调",C12:AG12))</f>
        <v>0</v>
      </c>
      <c r="AJ11" s="193">
        <f>-(SUMIF(C11:AG11,"=病",C12:AG12))</f>
        <v>0</v>
      </c>
      <c r="AK11" s="193">
        <f>-(SUMIF(C11:AG11,"=事",C12:AG12))</f>
        <v>0</v>
      </c>
      <c r="AL11" s="71">
        <f>SUMIF(C4:AG4,"P",C11:AG12)</f>
        <v>8.5</v>
      </c>
      <c r="AM11" s="46">
        <f>SUMIF(C4:AG4,"S",C11:AG12)</f>
        <v>51</v>
      </c>
      <c r="AN11" s="78">
        <f>SUMIF(C4:AG4,"G",C11:AG12)</f>
        <v>0</v>
      </c>
      <c r="AO11" s="167">
        <f>AH11+'2026-01'!AO11</f>
        <v>0</v>
      </c>
      <c r="AP11" s="202"/>
    </row>
    <row r="12" spans="1:42" s="1" customFormat="1" ht="15.95" customHeight="1">
      <c r="A12" s="185"/>
      <c r="B12" s="186"/>
      <c r="C12" s="225"/>
      <c r="D12" s="198"/>
      <c r="E12" s="198"/>
      <c r="F12" s="233"/>
      <c r="G12" s="233"/>
      <c r="H12" s="198"/>
      <c r="I12" s="225"/>
      <c r="J12" s="225"/>
      <c r="K12" s="198"/>
      <c r="L12" s="198"/>
      <c r="M12" s="198"/>
      <c r="N12" s="233"/>
      <c r="O12" s="198"/>
      <c r="P12" s="225"/>
      <c r="Q12" s="225"/>
      <c r="R12" s="261"/>
      <c r="S12" s="262"/>
      <c r="T12" s="258"/>
      <c r="U12" s="262"/>
      <c r="V12" s="225"/>
      <c r="W12" s="225"/>
      <c r="X12" s="225"/>
      <c r="Y12" s="225"/>
      <c r="Z12" s="233"/>
      <c r="AA12" s="233"/>
      <c r="AB12" s="198"/>
      <c r="AC12" s="198"/>
      <c r="AD12" s="198"/>
      <c r="AE12" s="225"/>
      <c r="AF12" s="225"/>
      <c r="AG12" s="225"/>
      <c r="AH12" s="180"/>
      <c r="AI12" s="194"/>
      <c r="AJ12" s="194"/>
      <c r="AK12" s="194"/>
      <c r="AL12" s="190">
        <f>IF(SUM(C11:AG11)-AI11=0,"√",SUM(C11:AG11)-AI11)</f>
        <v>59.5</v>
      </c>
      <c r="AM12" s="191"/>
      <c r="AN12" s="200"/>
      <c r="AO12" s="168"/>
      <c r="AP12" s="203"/>
    </row>
    <row r="13" spans="1:42" s="1" customFormat="1" ht="15.95" customHeight="1">
      <c r="A13" s="182">
        <v>5</v>
      </c>
      <c r="B13" s="183" t="s">
        <v>6</v>
      </c>
      <c r="C13" s="229"/>
      <c r="D13" s="18" t="s">
        <v>21</v>
      </c>
      <c r="E13" s="197"/>
      <c r="F13" s="233"/>
      <c r="G13" s="233"/>
      <c r="H13" s="11"/>
      <c r="I13" s="224">
        <v>8.5</v>
      </c>
      <c r="J13" s="224">
        <v>8.5</v>
      </c>
      <c r="K13" s="18" t="s">
        <v>21</v>
      </c>
      <c r="L13" s="204"/>
      <c r="M13" s="204"/>
      <c r="N13" s="233"/>
      <c r="O13" s="197"/>
      <c r="P13" s="197"/>
      <c r="Q13" s="228"/>
      <c r="R13" s="258"/>
      <c r="S13" s="262"/>
      <c r="T13" s="262">
        <v>2</v>
      </c>
      <c r="U13" s="260"/>
      <c r="V13" s="224">
        <v>8.5</v>
      </c>
      <c r="W13" s="224">
        <v>8.5</v>
      </c>
      <c r="X13" s="224">
        <v>8.5</v>
      </c>
      <c r="Y13" s="224">
        <v>8.5</v>
      </c>
      <c r="Z13" s="233"/>
      <c r="AA13" s="233"/>
      <c r="AB13" s="197"/>
      <c r="AC13" s="197"/>
      <c r="AD13" s="197"/>
      <c r="AE13" s="229"/>
      <c r="AF13" s="229"/>
      <c r="AG13" s="229"/>
      <c r="AH13" s="164">
        <f>-(SUMIF(C13:AG13,"=年",C14:AG14))</f>
        <v>10</v>
      </c>
      <c r="AI13" s="166">
        <f>-(SUMIF(C13:AG13,"=调",C14:AG14))</f>
        <v>0</v>
      </c>
      <c r="AJ13" s="166">
        <f>-(SUMIF(C13:AG13,"=病",C14:AG14))</f>
        <v>0</v>
      </c>
      <c r="AK13" s="166">
        <f>-(SUMIF(C13:AG13,"=事",C14:AG14))</f>
        <v>0</v>
      </c>
      <c r="AL13" s="72">
        <f>SUMIF(C4:AG4,"P",C13:AG14)</f>
        <v>0</v>
      </c>
      <c r="AM13" s="68">
        <f>SUMIF(C4:AG4,"S",C13:AG14)</f>
        <v>51</v>
      </c>
      <c r="AN13" s="79">
        <f>SUMIF(C4:AG4,"G",C13:AG14)</f>
        <v>2</v>
      </c>
      <c r="AO13" s="167">
        <f>AH13+'2026-01'!AO13</f>
        <v>18</v>
      </c>
      <c r="AP13" s="240"/>
    </row>
    <row r="14" spans="1:42" s="1" customFormat="1" ht="15.95" customHeight="1">
      <c r="A14" s="175"/>
      <c r="B14" s="177"/>
      <c r="C14" s="229"/>
      <c r="D14" s="50">
        <v>-2</v>
      </c>
      <c r="E14" s="198"/>
      <c r="F14" s="233"/>
      <c r="G14" s="233"/>
      <c r="H14" s="15"/>
      <c r="I14" s="225"/>
      <c r="J14" s="225"/>
      <c r="K14" s="50">
        <v>-8</v>
      </c>
      <c r="L14" s="204"/>
      <c r="M14" s="204"/>
      <c r="N14" s="233"/>
      <c r="O14" s="198"/>
      <c r="P14" s="198"/>
      <c r="Q14" s="228"/>
      <c r="R14" s="258"/>
      <c r="S14" s="262"/>
      <c r="T14" s="262"/>
      <c r="U14" s="261"/>
      <c r="V14" s="225"/>
      <c r="W14" s="225"/>
      <c r="X14" s="225"/>
      <c r="Y14" s="225"/>
      <c r="Z14" s="233"/>
      <c r="AA14" s="233"/>
      <c r="AB14" s="198"/>
      <c r="AC14" s="198"/>
      <c r="AD14" s="198"/>
      <c r="AE14" s="229"/>
      <c r="AF14" s="229"/>
      <c r="AG14" s="229"/>
      <c r="AH14" s="164"/>
      <c r="AI14" s="166"/>
      <c r="AJ14" s="166"/>
      <c r="AK14" s="166"/>
      <c r="AL14" s="171">
        <f>IF(SUM(C13:AG13)-AI13=0,"√",SUM(C13:AG13)-AI13)</f>
        <v>53</v>
      </c>
      <c r="AM14" s="172"/>
      <c r="AN14" s="173"/>
      <c r="AO14" s="168"/>
      <c r="AP14" s="240"/>
    </row>
    <row r="15" spans="1:42" s="1" customFormat="1" ht="15.95" customHeight="1">
      <c r="A15" s="185">
        <v>6</v>
      </c>
      <c r="B15" s="186" t="s">
        <v>7</v>
      </c>
      <c r="C15" s="224">
        <v>8.5</v>
      </c>
      <c r="D15" s="197"/>
      <c r="E15" s="197"/>
      <c r="F15" s="233"/>
      <c r="G15" s="233"/>
      <c r="H15" s="197"/>
      <c r="I15" s="224"/>
      <c r="J15" s="224">
        <v>8.5</v>
      </c>
      <c r="K15" s="197"/>
      <c r="L15" s="233"/>
      <c r="M15" s="233"/>
      <c r="N15" s="233"/>
      <c r="O15" s="197"/>
      <c r="P15" s="197"/>
      <c r="Q15" s="224">
        <v>8.5</v>
      </c>
      <c r="R15" s="74"/>
      <c r="S15" s="262"/>
      <c r="T15" s="258"/>
      <c r="U15" s="260"/>
      <c r="V15" s="224"/>
      <c r="W15" s="224">
        <v>8.5</v>
      </c>
      <c r="X15" s="224"/>
      <c r="Y15" s="224">
        <v>8.5</v>
      </c>
      <c r="Z15" s="233"/>
      <c r="AA15" s="233"/>
      <c r="AB15" s="197"/>
      <c r="AC15" s="197"/>
      <c r="AD15" s="197"/>
      <c r="AE15" s="86"/>
      <c r="AF15" s="224"/>
      <c r="AG15" s="224"/>
      <c r="AH15" s="189">
        <f>-(SUMIF(C15:AG15,"=年",C16:AG16))</f>
        <v>0</v>
      </c>
      <c r="AI15" s="193">
        <f>-(SUMIF(C15:AG15,"=调",C16:AG16))</f>
        <v>0</v>
      </c>
      <c r="AJ15" s="193">
        <f>-(SUMIF(C15:AG15,"=病",C16:AG16))</f>
        <v>0</v>
      </c>
      <c r="AK15" s="193">
        <f>-(SUMIF(C15:AG15,"=事",C16:AG16))</f>
        <v>0</v>
      </c>
      <c r="AL15" s="71">
        <f>SUMIF(C4:AG4,"P",C15:AG16)</f>
        <v>0</v>
      </c>
      <c r="AM15" s="46">
        <f>SUMIF(C4:AG4,"S",C15:AG16)</f>
        <v>42.5</v>
      </c>
      <c r="AN15" s="78">
        <f>SUMIF(C4:AG4,"G",C15:AG16)</f>
        <v>0</v>
      </c>
      <c r="AO15" s="167">
        <f>AH15+'2026-01'!AO15</f>
        <v>0</v>
      </c>
      <c r="AP15" s="195"/>
    </row>
    <row r="16" spans="1:42" s="1" customFormat="1" ht="15.95" customHeight="1">
      <c r="A16" s="185"/>
      <c r="B16" s="186"/>
      <c r="C16" s="225"/>
      <c r="D16" s="198"/>
      <c r="E16" s="198"/>
      <c r="F16" s="233"/>
      <c r="G16" s="233"/>
      <c r="H16" s="198"/>
      <c r="I16" s="225"/>
      <c r="J16" s="225"/>
      <c r="K16" s="198"/>
      <c r="L16" s="233"/>
      <c r="M16" s="233"/>
      <c r="N16" s="233"/>
      <c r="O16" s="198"/>
      <c r="P16" s="198"/>
      <c r="Q16" s="225"/>
      <c r="R16" s="75"/>
      <c r="S16" s="262"/>
      <c r="T16" s="258"/>
      <c r="U16" s="261"/>
      <c r="V16" s="225"/>
      <c r="W16" s="225"/>
      <c r="X16" s="225"/>
      <c r="Y16" s="225"/>
      <c r="Z16" s="233"/>
      <c r="AA16" s="233"/>
      <c r="AB16" s="198"/>
      <c r="AC16" s="198"/>
      <c r="AD16" s="198"/>
      <c r="AE16" s="87"/>
      <c r="AF16" s="225"/>
      <c r="AG16" s="225"/>
      <c r="AH16" s="180"/>
      <c r="AI16" s="194"/>
      <c r="AJ16" s="194"/>
      <c r="AK16" s="194"/>
      <c r="AL16" s="190">
        <f>IF(SUM(C15:AG15)-AI15=0,"√",SUM(C15:AG15)-AI15)</f>
        <v>42.5</v>
      </c>
      <c r="AM16" s="191"/>
      <c r="AN16" s="200"/>
      <c r="AO16" s="168"/>
      <c r="AP16" s="239"/>
    </row>
    <row r="17" spans="1:42" s="1" customFormat="1" ht="15.95" customHeight="1">
      <c r="A17" s="182">
        <v>7</v>
      </c>
      <c r="B17" s="183" t="s">
        <v>8</v>
      </c>
      <c r="C17" s="93"/>
      <c r="D17" s="204"/>
      <c r="E17" s="204"/>
      <c r="F17" s="233"/>
      <c r="G17" s="197"/>
      <c r="H17" s="197"/>
      <c r="I17" s="224"/>
      <c r="J17" s="224">
        <v>8.5</v>
      </c>
      <c r="K17" s="16"/>
      <c r="L17" s="16"/>
      <c r="M17" s="16"/>
      <c r="N17" s="16" t="s">
        <v>21</v>
      </c>
      <c r="O17" s="16" t="s">
        <v>21</v>
      </c>
      <c r="P17" s="16"/>
      <c r="Q17" s="85"/>
      <c r="R17" s="258"/>
      <c r="S17" s="73"/>
      <c r="T17" s="260"/>
      <c r="U17" s="260"/>
      <c r="V17" s="229"/>
      <c r="W17" s="229"/>
      <c r="X17" s="229"/>
      <c r="Y17" s="229"/>
      <c r="Z17" s="204"/>
      <c r="AA17" s="16"/>
      <c r="AB17" s="16"/>
      <c r="AC17" s="16"/>
      <c r="AD17" s="16"/>
      <c r="AE17" s="229"/>
      <c r="AF17" s="85"/>
      <c r="AG17" s="85"/>
      <c r="AH17" s="164">
        <f>-(SUMIF(C17:AG17,"=年",C18:AG18))</f>
        <v>9</v>
      </c>
      <c r="AI17" s="166">
        <f>-(SUMIF(C17:AG17,"=调",C18:AG18))</f>
        <v>0</v>
      </c>
      <c r="AJ17" s="166">
        <f>-(SUMIF(C17:AG17,"=病",C18:AG18))</f>
        <v>0</v>
      </c>
      <c r="AK17" s="166">
        <f>-(SUMIF(C17:AG17,"=事",C18:AG18))</f>
        <v>0</v>
      </c>
      <c r="AL17" s="72">
        <f>SUMIF(C4:AG4,"P",C17:AG18)</f>
        <v>0</v>
      </c>
      <c r="AM17" s="68">
        <f>SUMIF(C4:AG4,"S",C17:AG18)</f>
        <v>8.5</v>
      </c>
      <c r="AN17" s="79">
        <f>SUMIF(C4:AG4,"G",C17:AG18)</f>
        <v>0</v>
      </c>
      <c r="AO17" s="167">
        <f>AH17+'2026-01'!AO17</f>
        <v>9</v>
      </c>
      <c r="AP17" s="170"/>
    </row>
    <row r="18" spans="1:42" s="1" customFormat="1" ht="15.95" customHeight="1">
      <c r="A18" s="175"/>
      <c r="B18" s="177"/>
      <c r="C18" s="93"/>
      <c r="D18" s="204"/>
      <c r="E18" s="204"/>
      <c r="F18" s="233"/>
      <c r="G18" s="198"/>
      <c r="H18" s="198"/>
      <c r="I18" s="225"/>
      <c r="J18" s="225"/>
      <c r="K18" s="16"/>
      <c r="L18" s="16"/>
      <c r="M18" s="16"/>
      <c r="N18" s="16">
        <v>-1</v>
      </c>
      <c r="O18" s="16">
        <v>-8</v>
      </c>
      <c r="P18" s="16"/>
      <c r="Q18" s="85"/>
      <c r="R18" s="258"/>
      <c r="S18" s="73"/>
      <c r="T18" s="261"/>
      <c r="U18" s="261"/>
      <c r="V18" s="229"/>
      <c r="W18" s="229"/>
      <c r="X18" s="229"/>
      <c r="Y18" s="229"/>
      <c r="Z18" s="204"/>
      <c r="AA18" s="16"/>
      <c r="AB18" s="16"/>
      <c r="AC18" s="16"/>
      <c r="AD18" s="16"/>
      <c r="AE18" s="229"/>
      <c r="AF18" s="85"/>
      <c r="AG18" s="85"/>
      <c r="AH18" s="164"/>
      <c r="AI18" s="166"/>
      <c r="AJ18" s="166"/>
      <c r="AK18" s="166"/>
      <c r="AL18" s="171">
        <f>IF(SUM(C17:AG17)-AI17=0,"√",SUM(C17:AG17)-AI17)</f>
        <v>8.5</v>
      </c>
      <c r="AM18" s="172"/>
      <c r="AN18" s="173"/>
      <c r="AO18" s="168"/>
      <c r="AP18" s="170"/>
    </row>
    <row r="19" spans="1:42" s="1" customFormat="1" ht="15.95" customHeight="1">
      <c r="A19" s="185">
        <v>8</v>
      </c>
      <c r="B19" s="186" t="s">
        <v>9</v>
      </c>
      <c r="C19" s="224">
        <v>8.5</v>
      </c>
      <c r="D19" s="11"/>
      <c r="E19" s="197"/>
      <c r="F19" s="233"/>
      <c r="G19" s="233"/>
      <c r="H19" s="197"/>
      <c r="I19" s="224">
        <v>8.5</v>
      </c>
      <c r="J19" s="224">
        <v>8.5</v>
      </c>
      <c r="K19" s="197"/>
      <c r="L19" s="197"/>
      <c r="M19" s="197"/>
      <c r="N19" s="197"/>
      <c r="O19" s="197"/>
      <c r="P19" s="197"/>
      <c r="Q19" s="224"/>
      <c r="R19" s="74"/>
      <c r="S19" s="262"/>
      <c r="T19" s="262"/>
      <c r="U19" s="262"/>
      <c r="V19" s="224">
        <v>8.5</v>
      </c>
      <c r="W19" s="224">
        <v>8.5</v>
      </c>
      <c r="X19" s="224">
        <v>8.5</v>
      </c>
      <c r="Y19" s="86"/>
      <c r="Z19" s="197"/>
      <c r="AA19" s="197"/>
      <c r="AB19" s="11"/>
      <c r="AC19" s="197"/>
      <c r="AD19" s="197"/>
      <c r="AE19" s="86"/>
      <c r="AF19" s="224"/>
      <c r="AG19" s="224"/>
      <c r="AH19" s="189">
        <f>-(SUMIF(C19:AG19,"=年",C20:AG20))</f>
        <v>0</v>
      </c>
      <c r="AI19" s="193">
        <f>-(SUMIF(C19:AG19,"=调",C20:AG20))</f>
        <v>0</v>
      </c>
      <c r="AJ19" s="193">
        <f>-(SUMIF(C19:AG19,"=病",C20:AG20))</f>
        <v>0</v>
      </c>
      <c r="AK19" s="193">
        <f>-(SUMIF(C19:AG19,"=事",C20:AG20))</f>
        <v>0</v>
      </c>
      <c r="AL19" s="71">
        <f>SUMIF(C4:AG4,"P",C19:AG20)</f>
        <v>0</v>
      </c>
      <c r="AM19" s="46">
        <f>SUMIF(C4:AG4,"S",C19:AG20)</f>
        <v>51</v>
      </c>
      <c r="AN19" s="78">
        <f>SUMIF(C4:AG4,"G",C19:AG20)</f>
        <v>0</v>
      </c>
      <c r="AO19" s="167">
        <f>AH19+'2026-01'!AO19</f>
        <v>0</v>
      </c>
      <c r="AP19" s="205"/>
    </row>
    <row r="20" spans="1:42" s="1" customFormat="1" ht="15.95" customHeight="1">
      <c r="A20" s="185"/>
      <c r="B20" s="186"/>
      <c r="C20" s="225"/>
      <c r="D20" s="15"/>
      <c r="E20" s="198"/>
      <c r="F20" s="233"/>
      <c r="G20" s="233"/>
      <c r="H20" s="198"/>
      <c r="I20" s="225"/>
      <c r="J20" s="225"/>
      <c r="K20" s="198"/>
      <c r="L20" s="198"/>
      <c r="M20" s="204"/>
      <c r="N20" s="204"/>
      <c r="O20" s="198"/>
      <c r="P20" s="198"/>
      <c r="Q20" s="225"/>
      <c r="R20" s="75"/>
      <c r="S20" s="262"/>
      <c r="T20" s="262"/>
      <c r="U20" s="262"/>
      <c r="V20" s="225"/>
      <c r="W20" s="225"/>
      <c r="X20" s="225"/>
      <c r="Y20" s="87"/>
      <c r="Z20" s="198"/>
      <c r="AA20" s="198"/>
      <c r="AB20" s="15"/>
      <c r="AC20" s="198"/>
      <c r="AD20" s="198"/>
      <c r="AE20" s="87"/>
      <c r="AF20" s="225"/>
      <c r="AG20" s="225"/>
      <c r="AH20" s="180"/>
      <c r="AI20" s="194"/>
      <c r="AJ20" s="194"/>
      <c r="AK20" s="194"/>
      <c r="AL20" s="190">
        <f>IF(SUM(C19:AG19)-AI19=0,"√",SUM(C19:AG19)-AI19)</f>
        <v>51</v>
      </c>
      <c r="AM20" s="191"/>
      <c r="AN20" s="200"/>
      <c r="AO20" s="168"/>
      <c r="AP20" s="206"/>
    </row>
    <row r="21" spans="1:42" s="1" customFormat="1" ht="15.95" customHeight="1">
      <c r="A21" s="182">
        <v>9</v>
      </c>
      <c r="B21" s="183" t="s">
        <v>11</v>
      </c>
      <c r="C21" s="224">
        <v>10.5</v>
      </c>
      <c r="D21" s="197"/>
      <c r="E21" s="197"/>
      <c r="F21" s="233"/>
      <c r="G21" s="233"/>
      <c r="H21" s="197"/>
      <c r="I21" s="224">
        <v>8.5</v>
      </c>
      <c r="J21" s="228"/>
      <c r="K21" s="204"/>
      <c r="L21" s="263"/>
      <c r="M21" s="18" t="s">
        <v>21</v>
      </c>
      <c r="N21" s="14"/>
      <c r="O21" s="234"/>
      <c r="P21" s="197"/>
      <c r="Q21" s="224">
        <v>8.5</v>
      </c>
      <c r="R21" s="258"/>
      <c r="S21" s="258">
        <v>2</v>
      </c>
      <c r="T21" s="262"/>
      <c r="U21" s="260"/>
      <c r="V21" s="224"/>
      <c r="W21" s="224">
        <v>8.5</v>
      </c>
      <c r="X21" s="224">
        <v>8.5</v>
      </c>
      <c r="Y21" s="224">
        <v>8.5</v>
      </c>
      <c r="Z21" s="233"/>
      <c r="AA21" s="233"/>
      <c r="AB21" s="197"/>
      <c r="AC21" s="197"/>
      <c r="AD21" s="197"/>
      <c r="AE21" s="229"/>
      <c r="AF21" s="229"/>
      <c r="AG21" s="229"/>
      <c r="AH21" s="164">
        <f>-(SUMIF(C21:AG21,"=年",C22:AG22))</f>
        <v>2</v>
      </c>
      <c r="AI21" s="166">
        <f>-(SUMIF(C21:AG21,"=调",C22:AG22))</f>
        <v>0</v>
      </c>
      <c r="AJ21" s="166">
        <f>-(SUMIF(C21:AG21,"=病",C22:AG22))</f>
        <v>0</v>
      </c>
      <c r="AK21" s="166">
        <f>-(SUMIF(C21:AG21,"=事",C22:AG22))</f>
        <v>0</v>
      </c>
      <c r="AL21" s="72">
        <f>SUMIF(C4:AG4,"P",C21:AG22)</f>
        <v>0</v>
      </c>
      <c r="AM21" s="68">
        <f>SUMIF(C4:AG4,"S",C21:AG22)</f>
        <v>53</v>
      </c>
      <c r="AN21" s="79">
        <f>SUMIF(C4:AG4,"G",C21:AG22)</f>
        <v>2</v>
      </c>
      <c r="AO21" s="167">
        <f>AH21+'2026-01'!AO21</f>
        <v>2</v>
      </c>
      <c r="AP21" s="201"/>
    </row>
    <row r="22" spans="1:42" s="1" customFormat="1" ht="15.95" customHeight="1">
      <c r="A22" s="175"/>
      <c r="B22" s="177"/>
      <c r="C22" s="225"/>
      <c r="D22" s="198"/>
      <c r="E22" s="198"/>
      <c r="F22" s="233"/>
      <c r="G22" s="233"/>
      <c r="H22" s="198"/>
      <c r="I22" s="225"/>
      <c r="J22" s="228"/>
      <c r="K22" s="204"/>
      <c r="L22" s="263"/>
      <c r="M22" s="50">
        <v>-2</v>
      </c>
      <c r="N22" s="38"/>
      <c r="O22" s="235"/>
      <c r="P22" s="198"/>
      <c r="Q22" s="225"/>
      <c r="R22" s="258"/>
      <c r="S22" s="258"/>
      <c r="T22" s="262"/>
      <c r="U22" s="261"/>
      <c r="V22" s="225"/>
      <c r="W22" s="225"/>
      <c r="X22" s="225"/>
      <c r="Y22" s="225"/>
      <c r="Z22" s="233"/>
      <c r="AA22" s="233"/>
      <c r="AB22" s="198"/>
      <c r="AC22" s="198"/>
      <c r="AD22" s="198"/>
      <c r="AE22" s="229"/>
      <c r="AF22" s="229"/>
      <c r="AG22" s="229"/>
      <c r="AH22" s="164"/>
      <c r="AI22" s="166"/>
      <c r="AJ22" s="166"/>
      <c r="AK22" s="166"/>
      <c r="AL22" s="171">
        <f>IF(SUM(C21:AG21)-AI21=0,"√",SUM(C21:AG21)-AI21)</f>
        <v>55</v>
      </c>
      <c r="AM22" s="172"/>
      <c r="AN22" s="173"/>
      <c r="AO22" s="168"/>
      <c r="AP22" s="201"/>
    </row>
    <row r="23" spans="1:42" s="1" customFormat="1" ht="15.95" customHeight="1">
      <c r="A23" s="185">
        <v>10</v>
      </c>
      <c r="B23" s="186" t="s">
        <v>12</v>
      </c>
      <c r="C23" s="224"/>
      <c r="D23" s="197"/>
      <c r="E23" s="197"/>
      <c r="F23" s="233"/>
      <c r="G23" s="233"/>
      <c r="H23" s="197"/>
      <c r="I23" s="224"/>
      <c r="J23" s="224">
        <v>8.5</v>
      </c>
      <c r="K23" s="18" t="s">
        <v>21</v>
      </c>
      <c r="L23" s="233"/>
      <c r="M23" s="198"/>
      <c r="N23" s="198"/>
      <c r="O23" s="197"/>
      <c r="P23" s="224">
        <v>8.5</v>
      </c>
      <c r="Q23" s="224">
        <v>8.5</v>
      </c>
      <c r="R23" s="260"/>
      <c r="S23" s="262"/>
      <c r="T23" s="262"/>
      <c r="U23" s="260">
        <v>6</v>
      </c>
      <c r="V23" s="224">
        <v>8.5</v>
      </c>
      <c r="W23" s="224">
        <v>8.5</v>
      </c>
      <c r="X23" s="224">
        <v>8.5</v>
      </c>
      <c r="Y23" s="224">
        <v>8.5</v>
      </c>
      <c r="Z23" s="233"/>
      <c r="AA23" s="233"/>
      <c r="AB23" s="197"/>
      <c r="AC23" s="197"/>
      <c r="AD23" s="197"/>
      <c r="AE23" s="224"/>
      <c r="AF23" s="224"/>
      <c r="AG23" s="224"/>
      <c r="AH23" s="189">
        <f>-(SUMIF(C23:AG23,"=年",C24:AG24))</f>
        <v>1.5</v>
      </c>
      <c r="AI23" s="193">
        <f>-(SUMIF(C23:AG23,"=调",C24:AG24))</f>
        <v>0</v>
      </c>
      <c r="AJ23" s="193">
        <f>-(SUMIF(C23:AG23,"=病",C24:AG24))</f>
        <v>0</v>
      </c>
      <c r="AK23" s="193">
        <f>-(SUMIF(C23:AG23,"=事",C24:AG24))</f>
        <v>0</v>
      </c>
      <c r="AL23" s="71">
        <f>SUMIF(C4:AG4,"P",C23:AG24)</f>
        <v>8.5</v>
      </c>
      <c r="AM23" s="46">
        <f>SUMIF(C4:AG4,"S",C23:AG24)</f>
        <v>51</v>
      </c>
      <c r="AN23" s="78">
        <f>SUMIF(C4:AG4,"G",C23:AG24)</f>
        <v>6</v>
      </c>
      <c r="AO23" s="167">
        <f>AH23+'2026-01'!AO23</f>
        <v>1.5</v>
      </c>
      <c r="AP23" s="217"/>
    </row>
    <row r="24" spans="1:42" s="1" customFormat="1" ht="15.95" customHeight="1">
      <c r="A24" s="185"/>
      <c r="B24" s="186"/>
      <c r="C24" s="225"/>
      <c r="D24" s="198"/>
      <c r="E24" s="198"/>
      <c r="F24" s="233"/>
      <c r="G24" s="233"/>
      <c r="H24" s="198"/>
      <c r="I24" s="225"/>
      <c r="J24" s="225"/>
      <c r="K24" s="50">
        <v>-1.5</v>
      </c>
      <c r="L24" s="233"/>
      <c r="M24" s="233"/>
      <c r="N24" s="233"/>
      <c r="O24" s="198"/>
      <c r="P24" s="225"/>
      <c r="Q24" s="225"/>
      <c r="R24" s="261"/>
      <c r="S24" s="262"/>
      <c r="T24" s="262"/>
      <c r="U24" s="261"/>
      <c r="V24" s="225"/>
      <c r="W24" s="225"/>
      <c r="X24" s="225"/>
      <c r="Y24" s="225"/>
      <c r="Z24" s="233"/>
      <c r="AA24" s="233"/>
      <c r="AB24" s="198"/>
      <c r="AC24" s="198"/>
      <c r="AD24" s="198"/>
      <c r="AE24" s="225"/>
      <c r="AF24" s="225"/>
      <c r="AG24" s="225"/>
      <c r="AH24" s="180"/>
      <c r="AI24" s="194"/>
      <c r="AJ24" s="194"/>
      <c r="AK24" s="194"/>
      <c r="AL24" s="190">
        <f>IF(SUM(C23:AG23)-AI23=0,"√",SUM(C23:AG23)-AI23)</f>
        <v>65.5</v>
      </c>
      <c r="AM24" s="191"/>
      <c r="AN24" s="200"/>
      <c r="AO24" s="168"/>
      <c r="AP24" s="196"/>
    </row>
    <row r="25" spans="1:42" s="1" customFormat="1" ht="15.95" customHeight="1">
      <c r="A25" s="185">
        <v>11</v>
      </c>
      <c r="B25" s="186" t="s">
        <v>14</v>
      </c>
      <c r="C25" s="91"/>
      <c r="D25" s="197"/>
      <c r="E25" s="197"/>
      <c r="F25" s="233"/>
      <c r="G25" s="233"/>
      <c r="H25" s="197"/>
      <c r="I25" s="224">
        <v>8.5</v>
      </c>
      <c r="J25" s="86"/>
      <c r="K25" s="234"/>
      <c r="L25" s="233"/>
      <c r="M25" s="233"/>
      <c r="N25" s="233"/>
      <c r="O25" s="197"/>
      <c r="P25" s="197"/>
      <c r="Q25" s="228"/>
      <c r="R25" s="260">
        <v>6</v>
      </c>
      <c r="S25" s="262"/>
      <c r="T25" s="262"/>
      <c r="U25" s="262"/>
      <c r="V25" s="224">
        <v>8.5</v>
      </c>
      <c r="W25" s="224">
        <v>8.5</v>
      </c>
      <c r="X25" s="224">
        <v>8.5</v>
      </c>
      <c r="Y25" s="224">
        <v>8.5</v>
      </c>
      <c r="Z25" s="233"/>
      <c r="AA25" s="233"/>
      <c r="AB25" s="197"/>
      <c r="AC25" s="197"/>
      <c r="AD25" s="197"/>
      <c r="AE25" s="224"/>
      <c r="AF25" s="224"/>
      <c r="AG25" s="85"/>
      <c r="AH25" s="189">
        <f>-(SUMIF(C25:AG25,"=年",C26:AG26))</f>
        <v>0</v>
      </c>
      <c r="AI25" s="193">
        <f>-(SUMIF(C25:AG25,"=调",C26:AG26))</f>
        <v>0</v>
      </c>
      <c r="AJ25" s="193">
        <f>-(SUMIF(C25:AG25,"=病",C26:AG26))</f>
        <v>0</v>
      </c>
      <c r="AK25" s="193">
        <f>-(SUMIF(C25:AG25,"=事",C26:AG26))</f>
        <v>0</v>
      </c>
      <c r="AL25" s="71">
        <f>SUMIF(C4:AG4,"P",C25:AG26)</f>
        <v>0</v>
      </c>
      <c r="AM25" s="46">
        <f>SUMIF(C4:AG4,"S",C25:AG26)</f>
        <v>42.5</v>
      </c>
      <c r="AN25" s="78">
        <f>SUMIF(C4:AG4,"G",C25:AG26)</f>
        <v>6</v>
      </c>
      <c r="AO25" s="167">
        <f>AH25+'2026-01'!AO25</f>
        <v>0</v>
      </c>
      <c r="AP25" s="217"/>
    </row>
    <row r="26" spans="1:42" s="1" customFormat="1" ht="15.95" customHeight="1">
      <c r="A26" s="185"/>
      <c r="B26" s="186"/>
      <c r="C26" s="92"/>
      <c r="D26" s="198"/>
      <c r="E26" s="198"/>
      <c r="F26" s="233"/>
      <c r="G26" s="233"/>
      <c r="H26" s="198"/>
      <c r="I26" s="225"/>
      <c r="J26" s="87"/>
      <c r="K26" s="235"/>
      <c r="L26" s="233"/>
      <c r="M26" s="233"/>
      <c r="N26" s="233"/>
      <c r="O26" s="198"/>
      <c r="P26" s="198"/>
      <c r="Q26" s="228"/>
      <c r="R26" s="261"/>
      <c r="S26" s="262"/>
      <c r="T26" s="262"/>
      <c r="U26" s="262"/>
      <c r="V26" s="225"/>
      <c r="W26" s="225"/>
      <c r="X26" s="225"/>
      <c r="Y26" s="225"/>
      <c r="Z26" s="233"/>
      <c r="AA26" s="233"/>
      <c r="AB26" s="198"/>
      <c r="AC26" s="198"/>
      <c r="AD26" s="198"/>
      <c r="AE26" s="225"/>
      <c r="AF26" s="225"/>
      <c r="AG26" s="87"/>
      <c r="AH26" s="180"/>
      <c r="AI26" s="194"/>
      <c r="AJ26" s="194"/>
      <c r="AK26" s="194"/>
      <c r="AL26" s="190">
        <f>IF(SUM(C25:AG25)-AI25=0,"√",SUM(C25:AG25)-AI25)</f>
        <v>48.5</v>
      </c>
      <c r="AM26" s="191"/>
      <c r="AN26" s="200"/>
      <c r="AO26" s="168"/>
      <c r="AP26" s="196"/>
    </row>
    <row r="27" spans="1:42" s="1" customFormat="1" ht="15.95" customHeight="1">
      <c r="A27" s="182">
        <v>12</v>
      </c>
      <c r="B27" s="183" t="s">
        <v>34</v>
      </c>
      <c r="C27" s="93"/>
      <c r="D27" s="204"/>
      <c r="E27" s="18" t="s">
        <v>21</v>
      </c>
      <c r="F27" s="197"/>
      <c r="G27" s="197"/>
      <c r="H27" s="16"/>
      <c r="I27" s="85"/>
      <c r="J27" s="85"/>
      <c r="K27" s="16"/>
      <c r="L27" s="16"/>
      <c r="M27" s="16" t="s">
        <v>22</v>
      </c>
      <c r="N27" s="16" t="s">
        <v>22</v>
      </c>
      <c r="O27" s="16" t="s">
        <v>22</v>
      </c>
      <c r="P27" s="197"/>
      <c r="Q27" s="229"/>
      <c r="R27" s="258"/>
      <c r="S27" s="73"/>
      <c r="T27" s="73"/>
      <c r="U27" s="73"/>
      <c r="V27" s="229"/>
      <c r="W27" s="85"/>
      <c r="X27" s="85"/>
      <c r="Y27" s="224"/>
      <c r="Z27" s="18" t="s">
        <v>21</v>
      </c>
      <c r="AA27" s="18" t="s">
        <v>21</v>
      </c>
      <c r="AB27" s="18" t="s">
        <v>21</v>
      </c>
      <c r="AC27" s="18" t="s">
        <v>21</v>
      </c>
      <c r="AD27" s="16" t="s">
        <v>21</v>
      </c>
      <c r="AE27" s="85"/>
      <c r="AF27" s="229"/>
      <c r="AG27" s="229"/>
      <c r="AH27" s="164">
        <f>-(SUMIF(C27:AG27,"=年",C28:AG28))</f>
        <v>43</v>
      </c>
      <c r="AI27" s="166">
        <f>-(SUMIF(C27:AG27,"=调",C28:AG28))</f>
        <v>18</v>
      </c>
      <c r="AJ27" s="166">
        <f>-(SUMIF(C27:AG27,"=病",C28:AG28))</f>
        <v>0</v>
      </c>
      <c r="AK27" s="166">
        <f>-(SUMIF(C27:AG27,"=事",C28:AG28))</f>
        <v>0</v>
      </c>
      <c r="AL27" s="72">
        <f>SUMIF(C4:AG4,"P",C27:AG28)</f>
        <v>0</v>
      </c>
      <c r="AM27" s="68">
        <f>SUMIF(C4:AG4,"S",C27:AG28)-AI27</f>
        <v>-18</v>
      </c>
      <c r="AN27" s="79">
        <f>SUMIF(C4:AG4,"G",C27:AG28)</f>
        <v>0</v>
      </c>
      <c r="AO27" s="167">
        <f>AH27+'2026-01'!AO27</f>
        <v>43</v>
      </c>
      <c r="AP27" s="170"/>
    </row>
    <row r="28" spans="1:42" s="1" customFormat="1" ht="15.95" customHeight="1" thickBot="1">
      <c r="A28" s="231"/>
      <c r="B28" s="232"/>
      <c r="C28" s="94"/>
      <c r="D28" s="227"/>
      <c r="E28" s="55">
        <v>-3</v>
      </c>
      <c r="F28" s="227"/>
      <c r="G28" s="227"/>
      <c r="H28" s="39"/>
      <c r="I28" s="88"/>
      <c r="J28" s="88"/>
      <c r="K28" s="39"/>
      <c r="L28" s="39"/>
      <c r="M28" s="39">
        <v>-2</v>
      </c>
      <c r="N28" s="39">
        <v>-8</v>
      </c>
      <c r="O28" s="39">
        <v>-8</v>
      </c>
      <c r="P28" s="227"/>
      <c r="Q28" s="230"/>
      <c r="R28" s="259"/>
      <c r="S28" s="76"/>
      <c r="T28" s="76"/>
      <c r="U28" s="76"/>
      <c r="V28" s="230"/>
      <c r="W28" s="88"/>
      <c r="X28" s="88"/>
      <c r="Y28" s="230"/>
      <c r="Z28" s="55">
        <v>-8</v>
      </c>
      <c r="AA28" s="55">
        <v>-8</v>
      </c>
      <c r="AB28" s="55">
        <v>-8</v>
      </c>
      <c r="AC28" s="55">
        <v>-8</v>
      </c>
      <c r="AD28" s="39">
        <v>-8</v>
      </c>
      <c r="AE28" s="88"/>
      <c r="AF28" s="230"/>
      <c r="AG28" s="230"/>
      <c r="AH28" s="223"/>
      <c r="AI28" s="211"/>
      <c r="AJ28" s="211"/>
      <c r="AK28" s="211"/>
      <c r="AL28" s="213">
        <f>IF(SUM(C27:AG27)-AI27=0,"√",SUM(C27:AG27)-AI27)</f>
        <v>-18</v>
      </c>
      <c r="AM28" s="214"/>
      <c r="AN28" s="215"/>
      <c r="AO28" s="168"/>
      <c r="AP28" s="226"/>
    </row>
    <row r="29" spans="1:42" ht="37.15" customHeight="1">
      <c r="A29" s="216" t="s">
        <v>31</v>
      </c>
      <c r="B29" s="216"/>
      <c r="C29" s="216"/>
      <c r="D29" s="216"/>
      <c r="E29" s="216"/>
      <c r="F29" s="216"/>
      <c r="G29" s="216"/>
      <c r="H29" s="216"/>
      <c r="I29" s="216"/>
      <c r="J29" s="216"/>
      <c r="K29" s="216"/>
      <c r="L29" s="216"/>
      <c r="M29" s="216"/>
      <c r="N29" s="216"/>
      <c r="O29" s="216"/>
      <c r="P29" s="216"/>
      <c r="Q29" s="216"/>
      <c r="R29" s="216"/>
      <c r="S29" s="216"/>
      <c r="T29" s="216"/>
      <c r="U29" s="216"/>
      <c r="V29" s="216"/>
      <c r="W29" s="216"/>
      <c r="X29" s="216"/>
      <c r="Y29" s="216"/>
      <c r="Z29" s="216"/>
      <c r="AA29" s="216"/>
      <c r="AB29" s="216"/>
      <c r="AC29" s="216"/>
      <c r="AD29" s="216"/>
      <c r="AE29" s="216"/>
      <c r="AF29" s="216"/>
      <c r="AG29" s="216"/>
      <c r="AH29" s="216"/>
      <c r="AI29" s="216"/>
      <c r="AJ29" s="216"/>
      <c r="AK29" s="216"/>
      <c r="AL29" s="216"/>
      <c r="AM29" s="216"/>
      <c r="AN29" s="216"/>
      <c r="AO29" s="216"/>
      <c r="AP29" s="216"/>
    </row>
    <row r="30" spans="1:42" ht="34.9" customHeight="1">
      <c r="A30" s="3" t="s">
        <v>13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P30" s="3"/>
      <c r="Q30" s="3"/>
      <c r="R30" s="3"/>
      <c r="S30" s="3" t="s">
        <v>23</v>
      </c>
      <c r="T30" s="3"/>
      <c r="U30" s="3"/>
      <c r="V30" s="3"/>
      <c r="W30" s="3"/>
      <c r="X30" s="3"/>
      <c r="Y30" s="3"/>
      <c r="Z30" s="3"/>
      <c r="AA30" s="3"/>
      <c r="AB30" s="3"/>
      <c r="AD30" s="3"/>
      <c r="AE30" s="3"/>
      <c r="AG30" s="4"/>
      <c r="AI30" s="4"/>
      <c r="AJ30" s="3" t="s">
        <v>10</v>
      </c>
      <c r="AK30" s="4"/>
      <c r="AL30" s="4"/>
      <c r="AM30" s="4"/>
      <c r="AN30" s="4"/>
      <c r="AO30" s="4"/>
      <c r="AP30" s="4"/>
    </row>
    <row r="31" spans="1:4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</row>
  </sheetData>
  <mergeCells count="394">
    <mergeCell ref="AK5:AK6"/>
    <mergeCell ref="AO5:AO6"/>
    <mergeCell ref="AP5:AP6"/>
    <mergeCell ref="AL6:AN6"/>
    <mergeCell ref="AJ5:AJ6"/>
    <mergeCell ref="A1:AP1"/>
    <mergeCell ref="A2:A4"/>
    <mergeCell ref="B2:B4"/>
    <mergeCell ref="C2:AG2"/>
    <mergeCell ref="AH2:AH4"/>
    <mergeCell ref="AI2:AI4"/>
    <mergeCell ref="AJ2:AJ4"/>
    <mergeCell ref="AK2:AK4"/>
    <mergeCell ref="AL2:AN2"/>
    <mergeCell ref="AO2:AO4"/>
    <mergeCell ref="AP2:AP4"/>
    <mergeCell ref="AL3:AL4"/>
    <mergeCell ref="AM3:AM4"/>
    <mergeCell ref="AN3:AN4"/>
    <mergeCell ref="A7:A8"/>
    <mergeCell ref="B7:B8"/>
    <mergeCell ref="D7:D8"/>
    <mergeCell ref="E7:E8"/>
    <mergeCell ref="Z5:Z6"/>
    <mergeCell ref="AB5:AB6"/>
    <mergeCell ref="AC5:AC6"/>
    <mergeCell ref="AH5:AH6"/>
    <mergeCell ref="AI5:AI6"/>
    <mergeCell ref="M5:M6"/>
    <mergeCell ref="N5:N6"/>
    <mergeCell ref="O5:O6"/>
    <mergeCell ref="R5:R6"/>
    <mergeCell ref="T5:T6"/>
    <mergeCell ref="Y5:Y6"/>
    <mergeCell ref="A5:A6"/>
    <mergeCell ref="B5:B6"/>
    <mergeCell ref="D5:D6"/>
    <mergeCell ref="E5:E6"/>
    <mergeCell ref="F5:F6"/>
    <mergeCell ref="L5:L6"/>
    <mergeCell ref="AP7:AP8"/>
    <mergeCell ref="AL8:AN8"/>
    <mergeCell ref="A9:A10"/>
    <mergeCell ref="B9:B10"/>
    <mergeCell ref="D9:D10"/>
    <mergeCell ref="E9:E10"/>
    <mergeCell ref="H9:H10"/>
    <mergeCell ref="V7:V8"/>
    <mergeCell ref="W7:W8"/>
    <mergeCell ref="X7:X8"/>
    <mergeCell ref="AG7:AG8"/>
    <mergeCell ref="AH7:AH8"/>
    <mergeCell ref="AI7:AI8"/>
    <mergeCell ref="O7:O8"/>
    <mergeCell ref="P7:P8"/>
    <mergeCell ref="Q7:Q8"/>
    <mergeCell ref="R7:R8"/>
    <mergeCell ref="S7:S8"/>
    <mergeCell ref="T7:T8"/>
    <mergeCell ref="I7:I8"/>
    <mergeCell ref="J7:J8"/>
    <mergeCell ref="K7:K8"/>
    <mergeCell ref="L7:L8"/>
    <mergeCell ref="I9:I10"/>
    <mergeCell ref="U9:U10"/>
    <mergeCell ref="X9:X10"/>
    <mergeCell ref="AJ7:AJ8"/>
    <mergeCell ref="AK7:AK8"/>
    <mergeCell ref="AO7:AO8"/>
    <mergeCell ref="M7:M8"/>
    <mergeCell ref="AI9:AI10"/>
    <mergeCell ref="AJ9:AJ10"/>
    <mergeCell ref="AK9:AK10"/>
    <mergeCell ref="AO9:AO10"/>
    <mergeCell ref="AP9:AP10"/>
    <mergeCell ref="AL10:AN10"/>
    <mergeCell ref="Y9:Y10"/>
    <mergeCell ref="AB9:AB10"/>
    <mergeCell ref="AE9:AE10"/>
    <mergeCell ref="AF9:AF10"/>
    <mergeCell ref="AG9:AG10"/>
    <mergeCell ref="AH9:AH10"/>
    <mergeCell ref="G11:G12"/>
    <mergeCell ref="H11:H12"/>
    <mergeCell ref="I11:I12"/>
    <mergeCell ref="J11:J12"/>
    <mergeCell ref="K11:K12"/>
    <mergeCell ref="L11:L12"/>
    <mergeCell ref="X11:X12"/>
    <mergeCell ref="AK11:AK12"/>
    <mergeCell ref="AO11:AO12"/>
    <mergeCell ref="AP11:AP12"/>
    <mergeCell ref="AL12:AN12"/>
    <mergeCell ref="AI11:AI12"/>
    <mergeCell ref="AJ11:AJ12"/>
    <mergeCell ref="L9:L10"/>
    <mergeCell ref="S9:S10"/>
    <mergeCell ref="T9:T10"/>
    <mergeCell ref="A11:A12"/>
    <mergeCell ref="B11:B12"/>
    <mergeCell ref="C11:C12"/>
    <mergeCell ref="D11:D12"/>
    <mergeCell ref="E11:E12"/>
    <mergeCell ref="F11:F12"/>
    <mergeCell ref="U11:U12"/>
    <mergeCell ref="V11:V12"/>
    <mergeCell ref="W11:W12"/>
    <mergeCell ref="M11:M12"/>
    <mergeCell ref="N11:N12"/>
    <mergeCell ref="O11:O12"/>
    <mergeCell ref="P11:P12"/>
    <mergeCell ref="Q11:Q12"/>
    <mergeCell ref="R11:R12"/>
    <mergeCell ref="A13:A14"/>
    <mergeCell ref="B13:B14"/>
    <mergeCell ref="C13:C14"/>
    <mergeCell ref="E13:E14"/>
    <mergeCell ref="F13:F14"/>
    <mergeCell ref="AE11:AE12"/>
    <mergeCell ref="AF11:AF12"/>
    <mergeCell ref="AG11:AG12"/>
    <mergeCell ref="AH11:AH12"/>
    <mergeCell ref="Y11:Y12"/>
    <mergeCell ref="Z11:Z12"/>
    <mergeCell ref="AA11:AA12"/>
    <mergeCell ref="AB11:AB12"/>
    <mergeCell ref="AC11:AC12"/>
    <mergeCell ref="AD11:AD12"/>
    <mergeCell ref="S11:S12"/>
    <mergeCell ref="T11:T12"/>
    <mergeCell ref="N13:N14"/>
    <mergeCell ref="O13:O14"/>
    <mergeCell ref="P13:P14"/>
    <mergeCell ref="Q13:Q14"/>
    <mergeCell ref="R13:R14"/>
    <mergeCell ref="S13:S14"/>
    <mergeCell ref="G13:G14"/>
    <mergeCell ref="I13:I14"/>
    <mergeCell ref="J13:J14"/>
    <mergeCell ref="L13:L14"/>
    <mergeCell ref="M13:M14"/>
    <mergeCell ref="AC13:AC14"/>
    <mergeCell ref="AD13:AD14"/>
    <mergeCell ref="AE13:AE14"/>
    <mergeCell ref="AF13:AF14"/>
    <mergeCell ref="T13:T14"/>
    <mergeCell ref="U13:U14"/>
    <mergeCell ref="V13:V14"/>
    <mergeCell ref="X13:X14"/>
    <mergeCell ref="Y13:Y14"/>
    <mergeCell ref="Z13:Z14"/>
    <mergeCell ref="W13:W14"/>
    <mergeCell ref="I15:I16"/>
    <mergeCell ref="J15:J16"/>
    <mergeCell ref="K15:K16"/>
    <mergeCell ref="L15:L16"/>
    <mergeCell ref="M15:M16"/>
    <mergeCell ref="N15:N16"/>
    <mergeCell ref="AP13:AP14"/>
    <mergeCell ref="AL14:AN14"/>
    <mergeCell ref="A15:A16"/>
    <mergeCell ref="B15:B16"/>
    <mergeCell ref="C15:C16"/>
    <mergeCell ref="D15:D16"/>
    <mergeCell ref="E15:E16"/>
    <mergeCell ref="F15:F16"/>
    <mergeCell ref="G15:G16"/>
    <mergeCell ref="H15:H16"/>
    <mergeCell ref="AG13:AG14"/>
    <mergeCell ref="AH13:AH14"/>
    <mergeCell ref="AI13:AI14"/>
    <mergeCell ref="AJ13:AJ14"/>
    <mergeCell ref="AK13:AK14"/>
    <mergeCell ref="AO13:AO14"/>
    <mergeCell ref="AA13:AA14"/>
    <mergeCell ref="AB13:AB14"/>
    <mergeCell ref="V15:V16"/>
    <mergeCell ref="W15:W16"/>
    <mergeCell ref="X15:X16"/>
    <mergeCell ref="Y15:Y16"/>
    <mergeCell ref="Z15:Z16"/>
    <mergeCell ref="AA15:AA16"/>
    <mergeCell ref="O15:O16"/>
    <mergeCell ref="P15:P16"/>
    <mergeCell ref="Q15:Q16"/>
    <mergeCell ref="S15:S16"/>
    <mergeCell ref="T15:T16"/>
    <mergeCell ref="U15:U16"/>
    <mergeCell ref="AI15:AI16"/>
    <mergeCell ref="AJ15:AJ16"/>
    <mergeCell ref="AK15:AK16"/>
    <mergeCell ref="AO15:AO16"/>
    <mergeCell ref="AP15:AP16"/>
    <mergeCell ref="AL16:AN16"/>
    <mergeCell ref="AB15:AB16"/>
    <mergeCell ref="AC15:AC16"/>
    <mergeCell ref="AD15:AD16"/>
    <mergeCell ref="AF15:AF16"/>
    <mergeCell ref="AG15:AG16"/>
    <mergeCell ref="AH15:AH16"/>
    <mergeCell ref="AO17:AO18"/>
    <mergeCell ref="AP17:AP18"/>
    <mergeCell ref="AL18:AN18"/>
    <mergeCell ref="W17:W18"/>
    <mergeCell ref="X17:X18"/>
    <mergeCell ref="Y17:Y18"/>
    <mergeCell ref="Z17:Z18"/>
    <mergeCell ref="AE17:AE18"/>
    <mergeCell ref="AH17:AH18"/>
    <mergeCell ref="A19:A20"/>
    <mergeCell ref="B19:B20"/>
    <mergeCell ref="C19:C20"/>
    <mergeCell ref="E19:E20"/>
    <mergeCell ref="F19:F20"/>
    <mergeCell ref="G19:G20"/>
    <mergeCell ref="AI17:AI18"/>
    <mergeCell ref="AJ17:AJ18"/>
    <mergeCell ref="AK17:AK18"/>
    <mergeCell ref="H17:H18"/>
    <mergeCell ref="I17:I18"/>
    <mergeCell ref="R17:R18"/>
    <mergeCell ref="T17:T18"/>
    <mergeCell ref="U17:U18"/>
    <mergeCell ref="V17:V18"/>
    <mergeCell ref="A17:A18"/>
    <mergeCell ref="B17:B18"/>
    <mergeCell ref="D17:D18"/>
    <mergeCell ref="E17:E18"/>
    <mergeCell ref="F17:F18"/>
    <mergeCell ref="G17:G18"/>
    <mergeCell ref="J17:J18"/>
    <mergeCell ref="AP19:AP20"/>
    <mergeCell ref="AL20:AN20"/>
    <mergeCell ref="A21:A22"/>
    <mergeCell ref="B21:B22"/>
    <mergeCell ref="C21:C22"/>
    <mergeCell ref="D21:D22"/>
    <mergeCell ref="E21:E22"/>
    <mergeCell ref="AC19:AC20"/>
    <mergeCell ref="AD19:AD20"/>
    <mergeCell ref="AF19:AF20"/>
    <mergeCell ref="AG19:AG20"/>
    <mergeCell ref="AH19:AH20"/>
    <mergeCell ref="AI19:AI20"/>
    <mergeCell ref="U19:U20"/>
    <mergeCell ref="V19:V20"/>
    <mergeCell ref="W19:W20"/>
    <mergeCell ref="X19:X20"/>
    <mergeCell ref="Z19:Z20"/>
    <mergeCell ref="AA19:AA20"/>
    <mergeCell ref="N19:N20"/>
    <mergeCell ref="O19:O20"/>
    <mergeCell ref="P19:P20"/>
    <mergeCell ref="Q19:Q20"/>
    <mergeCell ref="S19:S20"/>
    <mergeCell ref="F21:F22"/>
    <mergeCell ref="G21:G22"/>
    <mergeCell ref="H21:H22"/>
    <mergeCell ref="I21:I22"/>
    <mergeCell ref="J21:J22"/>
    <mergeCell ref="K21:K22"/>
    <mergeCell ref="AJ19:AJ20"/>
    <mergeCell ref="AK19:AK20"/>
    <mergeCell ref="AO19:AO20"/>
    <mergeCell ref="T19:T20"/>
    <mergeCell ref="H19:H20"/>
    <mergeCell ref="I19:I20"/>
    <mergeCell ref="J19:J20"/>
    <mergeCell ref="K19:K20"/>
    <mergeCell ref="L19:L20"/>
    <mergeCell ref="M19:M20"/>
    <mergeCell ref="AK21:AK22"/>
    <mergeCell ref="AO21:AO22"/>
    <mergeCell ref="A23:A24"/>
    <mergeCell ref="B23:B24"/>
    <mergeCell ref="C23:C24"/>
    <mergeCell ref="D23:D24"/>
    <mergeCell ref="E23:E24"/>
    <mergeCell ref="F23:F24"/>
    <mergeCell ref="AE21:AE22"/>
    <mergeCell ref="AF21:AF22"/>
    <mergeCell ref="AG21:AG22"/>
    <mergeCell ref="Y21:Y22"/>
    <mergeCell ref="Z21:Z22"/>
    <mergeCell ref="AA21:AA22"/>
    <mergeCell ref="AB21:AB22"/>
    <mergeCell ref="AC21:AC22"/>
    <mergeCell ref="AD21:AD22"/>
    <mergeCell ref="S21:S22"/>
    <mergeCell ref="T21:T22"/>
    <mergeCell ref="U21:U22"/>
    <mergeCell ref="V21:V22"/>
    <mergeCell ref="W21:W22"/>
    <mergeCell ref="X21:X22"/>
    <mergeCell ref="L21:L22"/>
    <mergeCell ref="O21:O22"/>
    <mergeCell ref="G23:G24"/>
    <mergeCell ref="AP21:AP22"/>
    <mergeCell ref="AL22:AN22"/>
    <mergeCell ref="AH21:AH22"/>
    <mergeCell ref="AI21:AI22"/>
    <mergeCell ref="AJ21:AJ22"/>
    <mergeCell ref="P21:P22"/>
    <mergeCell ref="Q21:Q22"/>
    <mergeCell ref="R21:R22"/>
    <mergeCell ref="AO23:AO24"/>
    <mergeCell ref="AP23:AP24"/>
    <mergeCell ref="AL24:AN24"/>
    <mergeCell ref="AH23:AH24"/>
    <mergeCell ref="AI23:AI24"/>
    <mergeCell ref="AJ23:AJ24"/>
    <mergeCell ref="AK23:AK24"/>
    <mergeCell ref="Y23:Y24"/>
    <mergeCell ref="U23:U24"/>
    <mergeCell ref="V23:V24"/>
    <mergeCell ref="W23:W24"/>
    <mergeCell ref="X23:X24"/>
    <mergeCell ref="P23:P24"/>
    <mergeCell ref="Q23:Q24"/>
    <mergeCell ref="A25:A26"/>
    <mergeCell ref="B25:B26"/>
    <mergeCell ref="D25:D26"/>
    <mergeCell ref="E25:E26"/>
    <mergeCell ref="F25:F26"/>
    <mergeCell ref="G25:G26"/>
    <mergeCell ref="H25:H26"/>
    <mergeCell ref="AF23:AF24"/>
    <mergeCell ref="AG23:AG24"/>
    <mergeCell ref="Z23:Z24"/>
    <mergeCell ref="AA23:AA24"/>
    <mergeCell ref="AB23:AB24"/>
    <mergeCell ref="AC23:AC24"/>
    <mergeCell ref="AD23:AD24"/>
    <mergeCell ref="AE23:AE24"/>
    <mergeCell ref="S23:S24"/>
    <mergeCell ref="H23:H24"/>
    <mergeCell ref="T23:T24"/>
    <mergeCell ref="S25:S26"/>
    <mergeCell ref="T25:T26"/>
    <mergeCell ref="U25:U26"/>
    <mergeCell ref="V25:V26"/>
    <mergeCell ref="I25:I26"/>
    <mergeCell ref="K25:K26"/>
    <mergeCell ref="L25:L26"/>
    <mergeCell ref="M25:M26"/>
    <mergeCell ref="N25:N26"/>
    <mergeCell ref="O25:O26"/>
    <mergeCell ref="R25:R26"/>
    <mergeCell ref="R23:R24"/>
    <mergeCell ref="I23:I24"/>
    <mergeCell ref="J23:J24"/>
    <mergeCell ref="L23:L24"/>
    <mergeCell ref="M23:M24"/>
    <mergeCell ref="N23:N24"/>
    <mergeCell ref="O23:O24"/>
    <mergeCell ref="AJ25:AJ26"/>
    <mergeCell ref="AK25:AK26"/>
    <mergeCell ref="AO25:AO26"/>
    <mergeCell ref="AP25:AP26"/>
    <mergeCell ref="AL26:AN26"/>
    <mergeCell ref="A27:A28"/>
    <mergeCell ref="B27:B28"/>
    <mergeCell ref="D27:D28"/>
    <mergeCell ref="F27:F28"/>
    <mergeCell ref="AC25:AC26"/>
    <mergeCell ref="AD25:AD26"/>
    <mergeCell ref="AE25:AE26"/>
    <mergeCell ref="AF25:AF26"/>
    <mergeCell ref="AH25:AH26"/>
    <mergeCell ref="AI25:AI26"/>
    <mergeCell ref="W25:W26"/>
    <mergeCell ref="X25:X26"/>
    <mergeCell ref="Y25:Y26"/>
    <mergeCell ref="Z25:Z26"/>
    <mergeCell ref="AA25:AA26"/>
    <mergeCell ref="AB25:AB26"/>
    <mergeCell ref="P25:P26"/>
    <mergeCell ref="Q25:Q26"/>
    <mergeCell ref="AO27:AO28"/>
    <mergeCell ref="AP27:AP28"/>
    <mergeCell ref="AL28:AN28"/>
    <mergeCell ref="A29:AP29"/>
    <mergeCell ref="AF27:AF28"/>
    <mergeCell ref="AG27:AG28"/>
    <mergeCell ref="AH27:AH28"/>
    <mergeCell ref="AI27:AI28"/>
    <mergeCell ref="AJ27:AJ28"/>
    <mergeCell ref="AK27:AK28"/>
    <mergeCell ref="G27:G28"/>
    <mergeCell ref="P27:P28"/>
    <mergeCell ref="Q27:Q28"/>
    <mergeCell ref="R27:R28"/>
    <mergeCell ref="V27:V28"/>
    <mergeCell ref="Y27:Y28"/>
  </mergeCells>
  <phoneticPr fontId="8" type="noConversion"/>
  <conditionalFormatting sqref="C3 C5:C10 C17:C18 C25:C28">
    <cfRule type="expression" dxfId="32" priority="1">
      <formula>"C4=""S"""</formula>
    </cfRule>
  </conditionalFormatting>
  <pageMargins left="0.25138888888888899" right="0.25138888888888899" top="0.55486111111111103" bottom="0.55486111111111103" header="0.29861111111111099" footer="0.29861111111111099"/>
  <pageSetup paperSize="9" scale="76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03D72-E515-498E-96D0-E35CE5B74CC4}">
  <sheetPr>
    <pageSetUpPr fitToPage="1"/>
  </sheetPr>
  <dimension ref="A1:AP31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O5" sqref="AO5:AO28"/>
    </sheetView>
  </sheetViews>
  <sheetFormatPr defaultColWidth="9" defaultRowHeight="14.25"/>
  <cols>
    <col min="1" max="1" width="6" bestFit="1" customWidth="1"/>
    <col min="2" max="2" width="8.125" customWidth="1"/>
    <col min="3" max="33" width="4.125" customWidth="1"/>
    <col min="34" max="38" width="5.25" bestFit="1" customWidth="1"/>
    <col min="39" max="39" width="7.125" bestFit="1" customWidth="1"/>
    <col min="40" max="40" width="5.25" customWidth="1"/>
    <col min="41" max="42" width="5.25" bestFit="1" customWidth="1"/>
  </cols>
  <sheetData>
    <row r="1" spans="1:42" ht="84" customHeight="1" thickBot="1">
      <c r="A1" s="142" t="s">
        <v>15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  <c r="AD1" s="142"/>
      <c r="AE1" s="142"/>
      <c r="AF1" s="142"/>
      <c r="AG1" s="142"/>
      <c r="AH1" s="142"/>
      <c r="AI1" s="142"/>
      <c r="AJ1" s="142"/>
      <c r="AK1" s="142"/>
      <c r="AL1" s="142"/>
      <c r="AM1" s="142"/>
      <c r="AN1" s="142"/>
      <c r="AO1" s="142"/>
      <c r="AP1" s="142"/>
    </row>
    <row r="2" spans="1:42" ht="31.5" customHeight="1">
      <c r="A2" s="144" t="s">
        <v>0</v>
      </c>
      <c r="B2" s="243" t="s">
        <v>1</v>
      </c>
      <c r="C2" s="244" t="s">
        <v>37</v>
      </c>
      <c r="D2" s="245"/>
      <c r="E2" s="245"/>
      <c r="F2" s="245"/>
      <c r="G2" s="245"/>
      <c r="H2" s="245"/>
      <c r="I2" s="245"/>
      <c r="J2" s="245"/>
      <c r="K2" s="245"/>
      <c r="L2" s="245"/>
      <c r="M2" s="245"/>
      <c r="N2" s="245"/>
      <c r="O2" s="245"/>
      <c r="P2" s="245"/>
      <c r="Q2" s="245"/>
      <c r="R2" s="245"/>
      <c r="S2" s="245"/>
      <c r="T2" s="245"/>
      <c r="U2" s="245"/>
      <c r="V2" s="245"/>
      <c r="W2" s="245"/>
      <c r="X2" s="245"/>
      <c r="Y2" s="245"/>
      <c r="Z2" s="245"/>
      <c r="AA2" s="245"/>
      <c r="AB2" s="245"/>
      <c r="AC2" s="245"/>
      <c r="AD2" s="245"/>
      <c r="AE2" s="245"/>
      <c r="AF2" s="245"/>
      <c r="AG2" s="245"/>
      <c r="AH2" s="267" t="s">
        <v>39</v>
      </c>
      <c r="AI2" s="268"/>
      <c r="AJ2" s="268"/>
      <c r="AK2" s="268"/>
      <c r="AL2" s="268"/>
      <c r="AM2" s="268"/>
      <c r="AN2" s="269"/>
      <c r="AO2" s="251" t="s">
        <v>16</v>
      </c>
      <c r="AP2" s="156" t="s">
        <v>24</v>
      </c>
    </row>
    <row r="3" spans="1:42">
      <c r="A3" s="144"/>
      <c r="B3" s="146"/>
      <c r="C3" s="97">
        <v>1</v>
      </c>
      <c r="D3" s="48">
        <v>2</v>
      </c>
      <c r="E3" s="48">
        <v>3</v>
      </c>
      <c r="F3" s="48">
        <v>4</v>
      </c>
      <c r="G3" s="48">
        <v>5</v>
      </c>
      <c r="H3" s="48">
        <v>6</v>
      </c>
      <c r="I3" s="99">
        <v>7</v>
      </c>
      <c r="J3" s="99">
        <v>8</v>
      </c>
      <c r="K3" s="48">
        <v>9</v>
      </c>
      <c r="L3" s="48">
        <v>10</v>
      </c>
      <c r="M3" s="48">
        <v>11</v>
      </c>
      <c r="N3" s="48">
        <v>12</v>
      </c>
      <c r="O3" s="48">
        <v>13</v>
      </c>
      <c r="P3" s="99">
        <v>14</v>
      </c>
      <c r="Q3" s="99">
        <v>15</v>
      </c>
      <c r="R3" s="48">
        <v>16</v>
      </c>
      <c r="S3" s="82">
        <v>17</v>
      </c>
      <c r="T3" s="48">
        <v>18</v>
      </c>
      <c r="U3" s="48">
        <v>19</v>
      </c>
      <c r="V3" s="81">
        <v>20</v>
      </c>
      <c r="W3" s="99">
        <v>21</v>
      </c>
      <c r="X3" s="99">
        <v>22</v>
      </c>
      <c r="Y3" s="48">
        <v>23</v>
      </c>
      <c r="Z3" s="48">
        <v>24</v>
      </c>
      <c r="AA3" s="49">
        <v>25</v>
      </c>
      <c r="AB3" s="49">
        <v>26</v>
      </c>
      <c r="AC3" s="48">
        <v>27</v>
      </c>
      <c r="AD3" s="100">
        <v>28</v>
      </c>
      <c r="AE3" s="99">
        <v>29</v>
      </c>
      <c r="AF3" s="48">
        <v>30</v>
      </c>
      <c r="AG3" s="48">
        <v>31</v>
      </c>
      <c r="AH3" s="160" t="s">
        <v>43</v>
      </c>
      <c r="AI3" s="161"/>
      <c r="AJ3" s="161"/>
      <c r="AK3" s="162"/>
      <c r="AL3" s="160" t="s">
        <v>42</v>
      </c>
      <c r="AM3" s="161"/>
      <c r="AN3" s="162"/>
      <c r="AO3" s="153"/>
      <c r="AP3" s="156"/>
    </row>
    <row r="4" spans="1:42" ht="15" thickBot="1">
      <c r="A4" s="144"/>
      <c r="B4" s="146"/>
      <c r="C4" s="98" t="s">
        <v>30</v>
      </c>
      <c r="D4" s="59" t="s">
        <v>29</v>
      </c>
      <c r="E4" s="59" t="s">
        <v>29</v>
      </c>
      <c r="F4" s="59" t="s">
        <v>29</v>
      </c>
      <c r="G4" s="59" t="s">
        <v>29</v>
      </c>
      <c r="H4" s="59" t="s">
        <v>29</v>
      </c>
      <c r="I4" s="98" t="s">
        <v>30</v>
      </c>
      <c r="J4" s="98" t="s">
        <v>30</v>
      </c>
      <c r="K4" s="59" t="s">
        <v>29</v>
      </c>
      <c r="L4" s="59" t="s">
        <v>29</v>
      </c>
      <c r="M4" s="59" t="s">
        <v>29</v>
      </c>
      <c r="N4" s="59" t="s">
        <v>29</v>
      </c>
      <c r="O4" s="59" t="s">
        <v>29</v>
      </c>
      <c r="P4" s="98" t="s">
        <v>30</v>
      </c>
      <c r="Q4" s="98" t="s">
        <v>30</v>
      </c>
      <c r="R4" s="59" t="s">
        <v>29</v>
      </c>
      <c r="S4" s="83" t="s">
        <v>29</v>
      </c>
      <c r="T4" s="83" t="s">
        <v>29</v>
      </c>
      <c r="U4" s="83" t="s">
        <v>29</v>
      </c>
      <c r="V4" s="59" t="s">
        <v>29</v>
      </c>
      <c r="W4" s="98" t="s">
        <v>30</v>
      </c>
      <c r="X4" s="98" t="s">
        <v>30</v>
      </c>
      <c r="Y4" s="59" t="s">
        <v>29</v>
      </c>
      <c r="Z4" s="59" t="s">
        <v>29</v>
      </c>
      <c r="AA4" s="59" t="s">
        <v>29</v>
      </c>
      <c r="AB4" s="59" t="s">
        <v>29</v>
      </c>
      <c r="AC4" s="59" t="s">
        <v>29</v>
      </c>
      <c r="AD4" s="98" t="s">
        <v>30</v>
      </c>
      <c r="AE4" s="98" t="s">
        <v>30</v>
      </c>
      <c r="AF4" s="59" t="s">
        <v>29</v>
      </c>
      <c r="AG4" s="59" t="s">
        <v>29</v>
      </c>
      <c r="AH4" s="101" t="s">
        <v>38</v>
      </c>
      <c r="AI4" s="102" t="s">
        <v>44</v>
      </c>
      <c r="AJ4" s="102" t="s">
        <v>40</v>
      </c>
      <c r="AK4" s="103" t="s">
        <v>41</v>
      </c>
      <c r="AL4" s="101" t="s">
        <v>26</v>
      </c>
      <c r="AM4" s="102" t="s">
        <v>32</v>
      </c>
      <c r="AN4" s="103" t="s">
        <v>27</v>
      </c>
      <c r="AO4" s="154"/>
      <c r="AP4" s="156"/>
    </row>
    <row r="5" spans="1:42" s="1" customFormat="1" ht="15.95" customHeight="1">
      <c r="A5" s="174">
        <v>1</v>
      </c>
      <c r="B5" s="176" t="s">
        <v>2</v>
      </c>
      <c r="C5" s="89"/>
      <c r="D5" s="242"/>
      <c r="E5" s="242"/>
      <c r="F5" s="242"/>
      <c r="G5" s="64"/>
      <c r="H5" s="63"/>
      <c r="I5" s="84"/>
      <c r="J5" s="84"/>
      <c r="K5" s="64" t="s">
        <v>21</v>
      </c>
      <c r="L5" s="242"/>
      <c r="M5" s="242"/>
      <c r="N5" s="242"/>
      <c r="O5" s="242"/>
      <c r="P5" s="84"/>
      <c r="Q5" s="84"/>
      <c r="R5" s="242"/>
      <c r="S5" s="16"/>
      <c r="T5" s="204"/>
      <c r="U5" s="16"/>
      <c r="V5" s="64"/>
      <c r="W5" s="84"/>
      <c r="X5" s="84"/>
      <c r="Y5" s="242"/>
      <c r="Z5" s="242"/>
      <c r="AA5" s="64"/>
      <c r="AB5" s="242"/>
      <c r="AC5" s="242"/>
      <c r="AD5" s="84"/>
      <c r="AE5" s="84"/>
      <c r="AF5" s="64"/>
      <c r="AG5" s="64"/>
      <c r="AH5" s="163">
        <f>-(SUMIF(C5:AG5,"=年",C6:AG6))</f>
        <v>8</v>
      </c>
      <c r="AI5" s="165">
        <f>-(SUMIF(C5:AG5,"=调",C6:AG6))</f>
        <v>0</v>
      </c>
      <c r="AJ5" s="165">
        <f>-(SUMIF(C5:AG5,"=病",C6:AG6))</f>
        <v>0</v>
      </c>
      <c r="AK5" s="165">
        <f>-(SUMIF(C5:AG5,"=事",C6:AG6))</f>
        <v>0</v>
      </c>
      <c r="AL5" s="70">
        <f>SUMIF(C4:AG4,"P",C5:AG6)</f>
        <v>0</v>
      </c>
      <c r="AM5" s="67">
        <f>SUMIF(C4:AG4,"S",C5:AG6)</f>
        <v>0</v>
      </c>
      <c r="AN5" s="77">
        <f>SUMIF(C4:AG4,"G",C5:AG6)</f>
        <v>0</v>
      </c>
      <c r="AO5" s="167">
        <f>AH5+'2026-02'!AO5</f>
        <v>8</v>
      </c>
      <c r="AP5" s="169"/>
    </row>
    <row r="6" spans="1:42" s="1" customFormat="1" ht="15.95" customHeight="1">
      <c r="A6" s="175"/>
      <c r="B6" s="177"/>
      <c r="C6" s="90"/>
      <c r="D6" s="204"/>
      <c r="E6" s="204"/>
      <c r="F6" s="204"/>
      <c r="G6" s="16"/>
      <c r="H6" s="37"/>
      <c r="I6" s="85"/>
      <c r="J6" s="85"/>
      <c r="K6" s="16">
        <v>-8</v>
      </c>
      <c r="L6" s="204"/>
      <c r="M6" s="204"/>
      <c r="N6" s="198"/>
      <c r="O6" s="198"/>
      <c r="P6" s="85"/>
      <c r="Q6" s="85"/>
      <c r="R6" s="204"/>
      <c r="S6" s="15"/>
      <c r="T6" s="204"/>
      <c r="U6" s="15"/>
      <c r="V6" s="16"/>
      <c r="W6" s="85"/>
      <c r="X6" s="85"/>
      <c r="Y6" s="204"/>
      <c r="Z6" s="204"/>
      <c r="AA6" s="15"/>
      <c r="AB6" s="204"/>
      <c r="AC6" s="204"/>
      <c r="AD6" s="85"/>
      <c r="AE6" s="85"/>
      <c r="AF6" s="16"/>
      <c r="AG6" s="16"/>
      <c r="AH6" s="164"/>
      <c r="AI6" s="166"/>
      <c r="AJ6" s="166"/>
      <c r="AK6" s="166"/>
      <c r="AL6" s="171" t="str">
        <f>IF(SUM(C5:AG5)-AI5=0,"√",SUM(C5:AG5)-AI5)</f>
        <v>√</v>
      </c>
      <c r="AM6" s="172"/>
      <c r="AN6" s="173"/>
      <c r="AO6" s="168"/>
      <c r="AP6" s="170"/>
    </row>
    <row r="7" spans="1:42" s="1" customFormat="1" ht="15.95" customHeight="1">
      <c r="A7" s="185">
        <v>2</v>
      </c>
      <c r="B7" s="186" t="s">
        <v>3</v>
      </c>
      <c r="C7" s="91"/>
      <c r="D7" s="197"/>
      <c r="E7" s="197"/>
      <c r="F7" s="18"/>
      <c r="G7" s="18"/>
      <c r="H7" s="18"/>
      <c r="I7" s="224">
        <v>8.5</v>
      </c>
      <c r="J7" s="224"/>
      <c r="K7" s="197"/>
      <c r="L7" s="197"/>
      <c r="M7" s="197"/>
      <c r="N7" s="11"/>
      <c r="O7" s="197"/>
      <c r="P7" s="224"/>
      <c r="Q7" s="224"/>
      <c r="R7" s="197"/>
      <c r="S7" s="197"/>
      <c r="T7" s="197"/>
      <c r="U7" s="16"/>
      <c r="V7" s="197"/>
      <c r="W7" s="224"/>
      <c r="X7" s="224"/>
      <c r="Y7" s="14"/>
      <c r="Z7" s="11"/>
      <c r="AA7" s="16"/>
      <c r="AB7" s="11"/>
      <c r="AC7" s="11"/>
      <c r="AD7" s="86"/>
      <c r="AE7" s="86"/>
      <c r="AF7" s="11"/>
      <c r="AG7" s="197"/>
      <c r="AH7" s="189">
        <f>-(SUMIF(C7:AG7,"=年",C8:AG8))</f>
        <v>0</v>
      </c>
      <c r="AI7" s="193">
        <f>-(SUMIF(C7:AG7,"=调",C8:AG8))</f>
        <v>0</v>
      </c>
      <c r="AJ7" s="193">
        <f>-(SUMIF(C7:AG7,"=病",C8:AG8))</f>
        <v>0</v>
      </c>
      <c r="AK7" s="193">
        <f>-(SUMIF(C7:AG7,"=事",C8:AG8))</f>
        <v>0</v>
      </c>
      <c r="AL7" s="71">
        <f>SUMIF(C4:AG4,"P",C7:AG8)</f>
        <v>0</v>
      </c>
      <c r="AM7" s="57">
        <f>SUMIF(C4:AG4,"S",C7:AG8)</f>
        <v>8.5</v>
      </c>
      <c r="AN7" s="78">
        <f>SUMIF(C4:AG4,"G",C7:AG8)</f>
        <v>0</v>
      </c>
      <c r="AO7" s="167">
        <f>AH7+'2026-02'!AO7</f>
        <v>36</v>
      </c>
      <c r="AP7" s="217"/>
    </row>
    <row r="8" spans="1:42" s="1" customFormat="1" ht="15.95" customHeight="1">
      <c r="A8" s="185"/>
      <c r="B8" s="186"/>
      <c r="C8" s="92"/>
      <c r="D8" s="198"/>
      <c r="E8" s="198"/>
      <c r="F8" s="50"/>
      <c r="G8" s="50"/>
      <c r="H8" s="50"/>
      <c r="I8" s="225"/>
      <c r="J8" s="225"/>
      <c r="K8" s="198"/>
      <c r="L8" s="198"/>
      <c r="M8" s="198"/>
      <c r="N8" s="15"/>
      <c r="O8" s="198"/>
      <c r="P8" s="225"/>
      <c r="Q8" s="225"/>
      <c r="R8" s="198"/>
      <c r="S8" s="198"/>
      <c r="T8" s="198"/>
      <c r="U8" s="15"/>
      <c r="V8" s="198"/>
      <c r="W8" s="225"/>
      <c r="X8" s="225"/>
      <c r="Y8" s="38"/>
      <c r="Z8" s="15"/>
      <c r="AA8" s="15"/>
      <c r="AB8" s="15"/>
      <c r="AC8" s="15"/>
      <c r="AD8" s="87"/>
      <c r="AE8" s="85"/>
      <c r="AF8" s="15"/>
      <c r="AG8" s="198"/>
      <c r="AH8" s="180"/>
      <c r="AI8" s="194"/>
      <c r="AJ8" s="194"/>
      <c r="AK8" s="194"/>
      <c r="AL8" s="190">
        <f>IF(SUM(C7:AG7)-AI7=0,"√",SUM(C7:AG7)-AI7)</f>
        <v>8.5</v>
      </c>
      <c r="AM8" s="191"/>
      <c r="AN8" s="192"/>
      <c r="AO8" s="168"/>
      <c r="AP8" s="196"/>
    </row>
    <row r="9" spans="1:42" s="1" customFormat="1" ht="15.95" customHeight="1">
      <c r="A9" s="182">
        <v>3</v>
      </c>
      <c r="B9" s="183" t="s">
        <v>4</v>
      </c>
      <c r="C9" s="93"/>
      <c r="D9" s="204"/>
      <c r="E9" s="204"/>
      <c r="F9" s="16"/>
      <c r="G9" s="16"/>
      <c r="H9" s="197"/>
      <c r="I9" s="224"/>
      <c r="J9" s="85"/>
      <c r="K9" s="16"/>
      <c r="L9" s="204"/>
      <c r="M9" s="16"/>
      <c r="N9" s="16"/>
      <c r="O9" s="16"/>
      <c r="P9" s="224">
        <v>3</v>
      </c>
      <c r="Q9" s="85"/>
      <c r="R9" s="16"/>
      <c r="S9" s="204"/>
      <c r="T9" s="197"/>
      <c r="U9" s="197"/>
      <c r="V9" s="16"/>
      <c r="W9" s="85"/>
      <c r="X9" s="229"/>
      <c r="Y9" s="204"/>
      <c r="Z9" s="16"/>
      <c r="AA9" s="16"/>
      <c r="AB9" s="204"/>
      <c r="AC9" s="16"/>
      <c r="AD9" s="85"/>
      <c r="AE9" s="224"/>
      <c r="AF9" s="204"/>
      <c r="AG9" s="204"/>
      <c r="AH9" s="164">
        <f>-(SUMIF(C9:AG9,"=年",C10:AG10))</f>
        <v>0</v>
      </c>
      <c r="AI9" s="166">
        <f>-(SUMIF(C9:AG9,"=调",C10:AG10))</f>
        <v>0</v>
      </c>
      <c r="AJ9" s="166">
        <f>-(SUMIF(C9:AG9,"=病",C10:AG10))</f>
        <v>0</v>
      </c>
      <c r="AK9" s="166">
        <f>-(SUMIF(C9:AG9,"=事",C10:AG10))</f>
        <v>0</v>
      </c>
      <c r="AL9" s="72">
        <f>SUMIF(C4:AG4,"P",C9:AG10)</f>
        <v>0</v>
      </c>
      <c r="AM9" s="68">
        <f>SUMIF(C4:AG4,"S",C9:AG10)</f>
        <v>3</v>
      </c>
      <c r="AN9" s="79">
        <f>SUMIF(C4:AG4,"G",C9:AG10)</f>
        <v>0</v>
      </c>
      <c r="AO9" s="167">
        <f>AH9+'2026-02'!AO9</f>
        <v>6</v>
      </c>
      <c r="AP9" s="170"/>
    </row>
    <row r="10" spans="1:42" s="1" customFormat="1" ht="15.95" customHeight="1">
      <c r="A10" s="175"/>
      <c r="B10" s="177"/>
      <c r="C10" s="93"/>
      <c r="D10" s="204"/>
      <c r="E10" s="204"/>
      <c r="F10" s="16"/>
      <c r="G10" s="16"/>
      <c r="H10" s="198"/>
      <c r="I10" s="225"/>
      <c r="J10" s="85"/>
      <c r="K10" s="16"/>
      <c r="L10" s="204"/>
      <c r="M10" s="16"/>
      <c r="N10" s="16"/>
      <c r="O10" s="16"/>
      <c r="P10" s="225"/>
      <c r="Q10" s="85"/>
      <c r="R10" s="16"/>
      <c r="S10" s="204"/>
      <c r="T10" s="198"/>
      <c r="U10" s="198"/>
      <c r="V10" s="16"/>
      <c r="W10" s="85"/>
      <c r="X10" s="229"/>
      <c r="Y10" s="204"/>
      <c r="Z10" s="16"/>
      <c r="AA10" s="16"/>
      <c r="AB10" s="204"/>
      <c r="AC10" s="16"/>
      <c r="AD10" s="85"/>
      <c r="AE10" s="225"/>
      <c r="AF10" s="204"/>
      <c r="AG10" s="204"/>
      <c r="AH10" s="164"/>
      <c r="AI10" s="166"/>
      <c r="AJ10" s="166"/>
      <c r="AK10" s="166"/>
      <c r="AL10" s="171">
        <f>IF(SUM(C9:AG9)-AI9=0,"√",SUM(C9:AG9)-AI9)</f>
        <v>3</v>
      </c>
      <c r="AM10" s="172"/>
      <c r="AN10" s="173"/>
      <c r="AO10" s="168"/>
      <c r="AP10" s="170"/>
    </row>
    <row r="11" spans="1:42" s="1" customFormat="1" ht="15.95" customHeight="1">
      <c r="A11" s="185">
        <v>4</v>
      </c>
      <c r="B11" s="186" t="s">
        <v>5</v>
      </c>
      <c r="C11" s="224">
        <v>8.5</v>
      </c>
      <c r="D11" s="197"/>
      <c r="E11" s="197"/>
      <c r="F11" s="233"/>
      <c r="G11" s="233"/>
      <c r="H11" s="197">
        <v>3</v>
      </c>
      <c r="I11" s="224">
        <v>8.5</v>
      </c>
      <c r="J11" s="224"/>
      <c r="K11" s="197"/>
      <c r="L11" s="197"/>
      <c r="M11" s="197"/>
      <c r="N11" s="233"/>
      <c r="O11" s="197"/>
      <c r="P11" s="224">
        <v>8.5</v>
      </c>
      <c r="Q11" s="224">
        <v>8.5</v>
      </c>
      <c r="R11" s="197"/>
      <c r="S11" s="233"/>
      <c r="T11" s="204"/>
      <c r="U11" s="233">
        <v>3</v>
      </c>
      <c r="V11" s="197">
        <v>3</v>
      </c>
      <c r="W11" s="224"/>
      <c r="X11" s="224">
        <v>8.5</v>
      </c>
      <c r="Y11" s="197"/>
      <c r="Z11" s="233"/>
      <c r="AA11" s="233"/>
      <c r="AB11" s="197"/>
      <c r="AC11" s="197"/>
      <c r="AD11" s="224">
        <v>8.5</v>
      </c>
      <c r="AE11" s="224">
        <v>8.5</v>
      </c>
      <c r="AF11" s="197"/>
      <c r="AG11" s="197"/>
      <c r="AH11" s="189">
        <f>-(SUMIF(C11:AG11,"=年",C12:AG12))</f>
        <v>0</v>
      </c>
      <c r="AI11" s="193">
        <f>-(SUMIF(C11:AG11,"=调",C12:AG12))</f>
        <v>0</v>
      </c>
      <c r="AJ11" s="193">
        <f>-(SUMIF(C11:AG11,"=病",C12:AG12))</f>
        <v>0</v>
      </c>
      <c r="AK11" s="193">
        <f>-(SUMIF(C11:AG11,"=事",C12:AG12))</f>
        <v>0</v>
      </c>
      <c r="AL11" s="71">
        <f>SUMIF(C4:AG4,"P",C11:AG12)</f>
        <v>9</v>
      </c>
      <c r="AM11" s="46">
        <f>SUMIF(C4:AG4,"S",C11:AG12)</f>
        <v>59.5</v>
      </c>
      <c r="AN11" s="78">
        <f>SUMIF(C4:AG4,"G",C11:AG12)</f>
        <v>0</v>
      </c>
      <c r="AO11" s="167">
        <f>AH11+'2026-02'!AO11</f>
        <v>0</v>
      </c>
      <c r="AP11" s="202"/>
    </row>
    <row r="12" spans="1:42" s="1" customFormat="1" ht="15.95" customHeight="1">
      <c r="A12" s="185"/>
      <c r="B12" s="186"/>
      <c r="C12" s="225"/>
      <c r="D12" s="198"/>
      <c r="E12" s="198"/>
      <c r="F12" s="233"/>
      <c r="G12" s="233"/>
      <c r="H12" s="198"/>
      <c r="I12" s="225"/>
      <c r="J12" s="225"/>
      <c r="K12" s="198"/>
      <c r="L12" s="198"/>
      <c r="M12" s="198"/>
      <c r="N12" s="233"/>
      <c r="O12" s="198"/>
      <c r="P12" s="225"/>
      <c r="Q12" s="225"/>
      <c r="R12" s="198"/>
      <c r="S12" s="233"/>
      <c r="T12" s="204"/>
      <c r="U12" s="233"/>
      <c r="V12" s="198"/>
      <c r="W12" s="225"/>
      <c r="X12" s="225"/>
      <c r="Y12" s="198"/>
      <c r="Z12" s="233"/>
      <c r="AA12" s="233"/>
      <c r="AB12" s="198"/>
      <c r="AC12" s="198"/>
      <c r="AD12" s="225"/>
      <c r="AE12" s="225"/>
      <c r="AF12" s="198"/>
      <c r="AG12" s="198"/>
      <c r="AH12" s="180"/>
      <c r="AI12" s="194"/>
      <c r="AJ12" s="194"/>
      <c r="AK12" s="194"/>
      <c r="AL12" s="190">
        <f>IF(SUM(C11:AG11)-AI11=0,"√",SUM(C11:AG11)-AI11)</f>
        <v>68.5</v>
      </c>
      <c r="AM12" s="191"/>
      <c r="AN12" s="200"/>
      <c r="AO12" s="168"/>
      <c r="AP12" s="203"/>
    </row>
    <row r="13" spans="1:42" s="1" customFormat="1" ht="15.95" customHeight="1">
      <c r="A13" s="182">
        <v>5</v>
      </c>
      <c r="B13" s="183" t="s">
        <v>6</v>
      </c>
      <c r="C13" s="224">
        <v>8.5</v>
      </c>
      <c r="D13" s="18"/>
      <c r="E13" s="197"/>
      <c r="F13" s="233"/>
      <c r="G13" s="233"/>
      <c r="H13" s="197">
        <v>3</v>
      </c>
      <c r="I13" s="224">
        <v>8.5</v>
      </c>
      <c r="J13" s="224"/>
      <c r="K13" s="18"/>
      <c r="L13" s="204"/>
      <c r="M13" s="204"/>
      <c r="N13" s="233"/>
      <c r="O13" s="197"/>
      <c r="P13" s="224">
        <v>8.5</v>
      </c>
      <c r="Q13" s="224">
        <v>8.5</v>
      </c>
      <c r="R13" s="204"/>
      <c r="S13" s="233"/>
      <c r="T13" s="233"/>
      <c r="U13" s="18" t="s">
        <v>22</v>
      </c>
      <c r="V13" s="18" t="s">
        <v>22</v>
      </c>
      <c r="W13" s="224"/>
      <c r="X13" s="224"/>
      <c r="Y13" s="197"/>
      <c r="Z13" s="233"/>
      <c r="AA13" s="233"/>
      <c r="AB13" s="197"/>
      <c r="AC13" s="197"/>
      <c r="AD13" s="224">
        <v>8.5</v>
      </c>
      <c r="AE13" s="224">
        <v>8.5</v>
      </c>
      <c r="AF13" s="204"/>
      <c r="AG13" s="204"/>
      <c r="AH13" s="164">
        <f>-(SUMIF(C13:AG13,"=年",C14:AG14))</f>
        <v>0</v>
      </c>
      <c r="AI13" s="166">
        <f>-(SUMIF(C13:AG13,"=调",C14:AG14))</f>
        <v>16</v>
      </c>
      <c r="AJ13" s="166">
        <f>-(SUMIF(C13:AG13,"=病",C14:AG14))</f>
        <v>0</v>
      </c>
      <c r="AK13" s="166">
        <f>-(SUMIF(C13:AG13,"=事",C14:AG14))</f>
        <v>0</v>
      </c>
      <c r="AL13" s="72">
        <f>SUMIF(C4:AG4,"P",C13:AG14)</f>
        <v>3</v>
      </c>
      <c r="AM13" s="68">
        <f>SUMIF(C4:AG4,"S",C13:AG14)</f>
        <v>51</v>
      </c>
      <c r="AN13" s="79">
        <f>SUMIF(C4:AG4,"G",C13:AG14)</f>
        <v>0</v>
      </c>
      <c r="AO13" s="167">
        <f>AH13+'2026-02'!AO13</f>
        <v>18</v>
      </c>
      <c r="AP13" s="240"/>
    </row>
    <row r="14" spans="1:42" s="1" customFormat="1" ht="15.95" customHeight="1">
      <c r="A14" s="175"/>
      <c r="B14" s="177"/>
      <c r="C14" s="225"/>
      <c r="D14" s="50"/>
      <c r="E14" s="198"/>
      <c r="F14" s="233"/>
      <c r="G14" s="197"/>
      <c r="H14" s="198"/>
      <c r="I14" s="225"/>
      <c r="J14" s="225"/>
      <c r="K14" s="50"/>
      <c r="L14" s="204"/>
      <c r="M14" s="204"/>
      <c r="N14" s="233"/>
      <c r="O14" s="198"/>
      <c r="P14" s="225"/>
      <c r="Q14" s="225"/>
      <c r="R14" s="204"/>
      <c r="S14" s="233"/>
      <c r="T14" s="233"/>
      <c r="U14" s="50">
        <v>-8</v>
      </c>
      <c r="V14" s="50">
        <v>-8</v>
      </c>
      <c r="W14" s="225"/>
      <c r="X14" s="225"/>
      <c r="Y14" s="198"/>
      <c r="Z14" s="233"/>
      <c r="AA14" s="233"/>
      <c r="AB14" s="198"/>
      <c r="AC14" s="198"/>
      <c r="AD14" s="225"/>
      <c r="AE14" s="225"/>
      <c r="AF14" s="204"/>
      <c r="AG14" s="204"/>
      <c r="AH14" s="164"/>
      <c r="AI14" s="166"/>
      <c r="AJ14" s="166"/>
      <c r="AK14" s="166"/>
      <c r="AL14" s="171">
        <f>IF(SUM(C13:AG13)-AI13=0,"√",SUM(C13:AG13)-AI13)</f>
        <v>38</v>
      </c>
      <c r="AM14" s="172"/>
      <c r="AN14" s="173"/>
      <c r="AO14" s="168"/>
      <c r="AP14" s="240"/>
    </row>
    <row r="15" spans="1:42" s="1" customFormat="1" ht="15.95" customHeight="1">
      <c r="A15" s="185">
        <v>6</v>
      </c>
      <c r="B15" s="186" t="s">
        <v>7</v>
      </c>
      <c r="C15" s="224">
        <v>8.5</v>
      </c>
      <c r="D15" s="197"/>
      <c r="E15" s="197"/>
      <c r="F15" s="263"/>
      <c r="G15" s="18" t="s">
        <v>21</v>
      </c>
      <c r="H15" s="234">
        <v>3</v>
      </c>
      <c r="I15" s="224">
        <v>8.5</v>
      </c>
      <c r="J15" s="224">
        <v>8.5</v>
      </c>
      <c r="K15" s="197"/>
      <c r="L15" s="233"/>
      <c r="M15" s="233">
        <v>3</v>
      </c>
      <c r="N15" s="233"/>
      <c r="O15" s="197">
        <v>3</v>
      </c>
      <c r="P15" s="224">
        <v>8.5</v>
      </c>
      <c r="Q15" s="224">
        <v>8.5</v>
      </c>
      <c r="R15" s="11"/>
      <c r="S15" s="233"/>
      <c r="T15" s="204"/>
      <c r="U15" s="197"/>
      <c r="V15" s="197">
        <v>3</v>
      </c>
      <c r="W15" s="224">
        <v>8.5</v>
      </c>
      <c r="X15" s="224">
        <v>8.5</v>
      </c>
      <c r="Y15" s="197"/>
      <c r="Z15" s="233"/>
      <c r="AA15" s="233"/>
      <c r="AB15" s="197"/>
      <c r="AC15" s="197"/>
      <c r="AD15" s="224">
        <v>8.5</v>
      </c>
      <c r="AE15" s="85"/>
      <c r="AF15" s="197"/>
      <c r="AG15" s="197"/>
      <c r="AH15" s="189">
        <f>-(SUMIF(C15:AG15,"=年",C16:AG16))</f>
        <v>8</v>
      </c>
      <c r="AI15" s="193">
        <f>-(SUMIF(C15:AG15,"=调",C16:AG16))</f>
        <v>0</v>
      </c>
      <c r="AJ15" s="193">
        <f>-(SUMIF(C15:AG15,"=病",C16:AG16))</f>
        <v>0</v>
      </c>
      <c r="AK15" s="193">
        <f>-(SUMIF(C15:AG15,"=事",C16:AG16))</f>
        <v>0</v>
      </c>
      <c r="AL15" s="71">
        <f>SUMIF(C4:AG4,"P",C15:AG16)</f>
        <v>12</v>
      </c>
      <c r="AM15" s="46">
        <f>SUMIF(C4:AG4,"S",C15:AG16)</f>
        <v>68</v>
      </c>
      <c r="AN15" s="78">
        <f>SUMIF(C4:AG4,"G",C15:AG16)</f>
        <v>0</v>
      </c>
      <c r="AO15" s="167">
        <f>AH15+'2026-02'!AO15</f>
        <v>8</v>
      </c>
      <c r="AP15" s="195"/>
    </row>
    <row r="16" spans="1:42" s="1" customFormat="1" ht="15.95" customHeight="1">
      <c r="A16" s="185"/>
      <c r="B16" s="186"/>
      <c r="C16" s="225"/>
      <c r="D16" s="198"/>
      <c r="E16" s="198"/>
      <c r="F16" s="263"/>
      <c r="G16" s="50">
        <v>-8</v>
      </c>
      <c r="H16" s="235"/>
      <c r="I16" s="225"/>
      <c r="J16" s="225"/>
      <c r="K16" s="198"/>
      <c r="L16" s="233"/>
      <c r="M16" s="233"/>
      <c r="N16" s="233"/>
      <c r="O16" s="198"/>
      <c r="P16" s="225"/>
      <c r="Q16" s="225"/>
      <c r="R16" s="15"/>
      <c r="S16" s="233"/>
      <c r="T16" s="204"/>
      <c r="U16" s="198"/>
      <c r="V16" s="198"/>
      <c r="W16" s="225"/>
      <c r="X16" s="225"/>
      <c r="Y16" s="198"/>
      <c r="Z16" s="233"/>
      <c r="AA16" s="233"/>
      <c r="AB16" s="198"/>
      <c r="AC16" s="198"/>
      <c r="AD16" s="225"/>
      <c r="AE16" s="87"/>
      <c r="AF16" s="198"/>
      <c r="AG16" s="198"/>
      <c r="AH16" s="180"/>
      <c r="AI16" s="194"/>
      <c r="AJ16" s="194"/>
      <c r="AK16" s="194"/>
      <c r="AL16" s="190">
        <f>IF(SUM(C15:AG15)-AI15=0,"√",SUM(C15:AG15)-AI15)</f>
        <v>80</v>
      </c>
      <c r="AM16" s="191"/>
      <c r="AN16" s="200"/>
      <c r="AO16" s="168"/>
      <c r="AP16" s="239"/>
    </row>
    <row r="17" spans="1:42" s="1" customFormat="1" ht="15.95" customHeight="1">
      <c r="A17" s="182">
        <v>7</v>
      </c>
      <c r="B17" s="183" t="s">
        <v>8</v>
      </c>
      <c r="C17" s="93"/>
      <c r="D17" s="204"/>
      <c r="E17" s="204"/>
      <c r="F17" s="233"/>
      <c r="G17" s="204"/>
      <c r="H17" s="197"/>
      <c r="I17" s="224"/>
      <c r="J17" s="224"/>
      <c r="K17" s="16"/>
      <c r="L17" s="16"/>
      <c r="M17" s="16"/>
      <c r="N17" s="16"/>
      <c r="O17" s="16"/>
      <c r="P17" s="85"/>
      <c r="Q17" s="85"/>
      <c r="R17" s="204"/>
      <c r="S17" s="16"/>
      <c r="T17" s="197"/>
      <c r="U17" s="197"/>
      <c r="V17" s="204"/>
      <c r="W17" s="229"/>
      <c r="X17" s="229"/>
      <c r="Y17" s="204"/>
      <c r="Z17" s="204"/>
      <c r="AA17" s="16"/>
      <c r="AB17" s="16"/>
      <c r="AC17" s="16"/>
      <c r="AD17" s="85"/>
      <c r="AE17" s="229"/>
      <c r="AF17" s="16"/>
      <c r="AG17" s="16"/>
      <c r="AH17" s="164">
        <f>-(SUMIF(C17:AG17,"=年",C18:AG18))</f>
        <v>0</v>
      </c>
      <c r="AI17" s="166">
        <f>-(SUMIF(C17:AG17,"=调",C18:AG18))</f>
        <v>0</v>
      </c>
      <c r="AJ17" s="166">
        <f>-(SUMIF(C17:AG17,"=病",C18:AG18))</f>
        <v>0</v>
      </c>
      <c r="AK17" s="166">
        <f>-(SUMIF(C17:AG17,"=事",C18:AG18))</f>
        <v>0</v>
      </c>
      <c r="AL17" s="72">
        <f>SUMIF(C4:AG4,"P",C17:AG18)</f>
        <v>0</v>
      </c>
      <c r="AM17" s="68">
        <f>SUMIF(C4:AG4,"S",C17:AG18)</f>
        <v>0</v>
      </c>
      <c r="AN17" s="79">
        <f>SUMIF(C4:AG4,"G",C17:AG18)</f>
        <v>0</v>
      </c>
      <c r="AO17" s="167">
        <f>AH17+'2026-02'!AO17</f>
        <v>9</v>
      </c>
      <c r="AP17" s="170"/>
    </row>
    <row r="18" spans="1:42" s="1" customFormat="1" ht="15.95" customHeight="1">
      <c r="A18" s="175"/>
      <c r="B18" s="177"/>
      <c r="C18" s="93"/>
      <c r="D18" s="204"/>
      <c r="E18" s="204"/>
      <c r="F18" s="233"/>
      <c r="G18" s="198"/>
      <c r="H18" s="198"/>
      <c r="I18" s="225"/>
      <c r="J18" s="225"/>
      <c r="K18" s="16"/>
      <c r="L18" s="16"/>
      <c r="M18" s="16"/>
      <c r="N18" s="16"/>
      <c r="O18" s="16"/>
      <c r="P18" s="85"/>
      <c r="Q18" s="85"/>
      <c r="R18" s="204"/>
      <c r="S18" s="16"/>
      <c r="T18" s="198"/>
      <c r="U18" s="198"/>
      <c r="V18" s="204"/>
      <c r="W18" s="229"/>
      <c r="X18" s="229"/>
      <c r="Y18" s="204"/>
      <c r="Z18" s="204"/>
      <c r="AA18" s="16"/>
      <c r="AB18" s="16"/>
      <c r="AC18" s="16"/>
      <c r="AD18" s="85"/>
      <c r="AE18" s="229"/>
      <c r="AF18" s="16"/>
      <c r="AG18" s="16"/>
      <c r="AH18" s="164"/>
      <c r="AI18" s="166"/>
      <c r="AJ18" s="166"/>
      <c r="AK18" s="166"/>
      <c r="AL18" s="171" t="str">
        <f>IF(SUM(C17:AG17)-AI17=0,"√",SUM(C17:AG17)-AI17)</f>
        <v>√</v>
      </c>
      <c r="AM18" s="172"/>
      <c r="AN18" s="173"/>
      <c r="AO18" s="168"/>
      <c r="AP18" s="170"/>
    </row>
    <row r="19" spans="1:42" s="1" customFormat="1" ht="15.95" customHeight="1">
      <c r="A19" s="185">
        <v>8</v>
      </c>
      <c r="B19" s="186" t="s">
        <v>9</v>
      </c>
      <c r="C19" s="224">
        <v>8.5</v>
      </c>
      <c r="D19" s="11"/>
      <c r="E19" s="197"/>
      <c r="F19" s="233"/>
      <c r="G19" s="233"/>
      <c r="H19" s="197"/>
      <c r="I19" s="224">
        <v>8.5</v>
      </c>
      <c r="J19" s="224">
        <v>8.5</v>
      </c>
      <c r="K19" s="197"/>
      <c r="L19" s="197"/>
      <c r="M19" s="197"/>
      <c r="N19" s="197"/>
      <c r="O19" s="197"/>
      <c r="P19" s="224">
        <f>8.5+3</f>
        <v>11.5</v>
      </c>
      <c r="Q19" s="224"/>
      <c r="R19" s="11"/>
      <c r="S19" s="233"/>
      <c r="T19" s="233"/>
      <c r="U19" s="233">
        <v>3</v>
      </c>
      <c r="V19" s="197">
        <v>3</v>
      </c>
      <c r="W19" s="224"/>
      <c r="X19" s="224">
        <v>8.5</v>
      </c>
      <c r="Y19" s="11"/>
      <c r="Z19" s="197"/>
      <c r="AA19" s="197"/>
      <c r="AB19" s="11"/>
      <c r="AC19" s="197"/>
      <c r="AD19" s="224">
        <v>8.5</v>
      </c>
      <c r="AE19" s="86"/>
      <c r="AF19" s="197"/>
      <c r="AG19" s="197"/>
      <c r="AH19" s="189">
        <f>-(SUMIF(C19:AG19,"=年",C20:AG20))</f>
        <v>0</v>
      </c>
      <c r="AI19" s="193">
        <f>-(SUMIF(C19:AG19,"=调",C20:AG20))</f>
        <v>0</v>
      </c>
      <c r="AJ19" s="193">
        <f>-(SUMIF(C19:AG19,"=病",C20:AG20))</f>
        <v>0</v>
      </c>
      <c r="AK19" s="193">
        <f>-(SUMIF(C19:AG19,"=事",C20:AG20))</f>
        <v>0</v>
      </c>
      <c r="AL19" s="71">
        <f>SUMIF(C4:AG4,"P",C19:AG20)</f>
        <v>6</v>
      </c>
      <c r="AM19" s="46">
        <f>SUMIF(C4:AG4,"S",C19:AG20)</f>
        <v>54</v>
      </c>
      <c r="AN19" s="78">
        <f>SUMIF(C4:AG4,"G",C19:AG20)</f>
        <v>0</v>
      </c>
      <c r="AO19" s="167">
        <f>AH19+'2026-02'!AO19</f>
        <v>0</v>
      </c>
      <c r="AP19" s="205"/>
    </row>
    <row r="20" spans="1:42" s="1" customFormat="1" ht="15.95" customHeight="1">
      <c r="A20" s="185"/>
      <c r="B20" s="186"/>
      <c r="C20" s="225"/>
      <c r="D20" s="15"/>
      <c r="E20" s="198"/>
      <c r="F20" s="233"/>
      <c r="G20" s="233"/>
      <c r="H20" s="198"/>
      <c r="I20" s="225"/>
      <c r="J20" s="225"/>
      <c r="K20" s="198"/>
      <c r="L20" s="198"/>
      <c r="M20" s="204"/>
      <c r="N20" s="204"/>
      <c r="O20" s="198"/>
      <c r="P20" s="225"/>
      <c r="Q20" s="225"/>
      <c r="R20" s="15"/>
      <c r="S20" s="233"/>
      <c r="T20" s="233"/>
      <c r="U20" s="233"/>
      <c r="V20" s="198"/>
      <c r="W20" s="225"/>
      <c r="X20" s="225"/>
      <c r="Y20" s="15"/>
      <c r="Z20" s="198"/>
      <c r="AA20" s="198"/>
      <c r="AB20" s="15"/>
      <c r="AC20" s="198"/>
      <c r="AD20" s="225"/>
      <c r="AE20" s="85"/>
      <c r="AF20" s="198"/>
      <c r="AG20" s="198"/>
      <c r="AH20" s="180"/>
      <c r="AI20" s="194"/>
      <c r="AJ20" s="194"/>
      <c r="AK20" s="194"/>
      <c r="AL20" s="190">
        <f>IF(SUM(C19:AG19)-AI19=0,"√",SUM(C19:AG19)-AI19)</f>
        <v>60</v>
      </c>
      <c r="AM20" s="191"/>
      <c r="AN20" s="200"/>
      <c r="AO20" s="168"/>
      <c r="AP20" s="206"/>
    </row>
    <row r="21" spans="1:42" s="1" customFormat="1" ht="15.95" customHeight="1">
      <c r="A21" s="182">
        <v>9</v>
      </c>
      <c r="B21" s="183" t="s">
        <v>11</v>
      </c>
      <c r="C21" s="224"/>
      <c r="D21" s="197"/>
      <c r="E21" s="197"/>
      <c r="F21" s="233"/>
      <c r="G21" s="233"/>
      <c r="H21" s="197">
        <v>3</v>
      </c>
      <c r="I21" s="224">
        <v>8.5</v>
      </c>
      <c r="J21" s="224">
        <v>8.5</v>
      </c>
      <c r="K21" s="204"/>
      <c r="L21" s="263"/>
      <c r="M21" s="18"/>
      <c r="N21" s="14"/>
      <c r="O21" s="234"/>
      <c r="P21" s="224">
        <v>8.5</v>
      </c>
      <c r="Q21" s="224">
        <v>8.5</v>
      </c>
      <c r="R21" s="204"/>
      <c r="S21" s="204"/>
      <c r="T21" s="233"/>
      <c r="U21" s="197">
        <v>3</v>
      </c>
      <c r="V21" s="197">
        <v>3</v>
      </c>
      <c r="W21" s="224">
        <v>8.5</v>
      </c>
      <c r="X21" s="224"/>
      <c r="Y21" s="197"/>
      <c r="Z21" s="233"/>
      <c r="AA21" s="233"/>
      <c r="AB21" s="197"/>
      <c r="AC21" s="197"/>
      <c r="AD21" s="224">
        <v>8.5</v>
      </c>
      <c r="AE21" s="224">
        <v>8.5</v>
      </c>
      <c r="AF21" s="204"/>
      <c r="AG21" s="204"/>
      <c r="AH21" s="164">
        <f>-(SUMIF(C21:AG21,"=年",C22:AG22))</f>
        <v>0</v>
      </c>
      <c r="AI21" s="166">
        <f>-(SUMIF(C21:AG21,"=调",C22:AG22))</f>
        <v>0</v>
      </c>
      <c r="AJ21" s="166">
        <f>-(SUMIF(C21:AG21,"=病",C22:AG22))</f>
        <v>0</v>
      </c>
      <c r="AK21" s="166">
        <f>-(SUMIF(C21:AG21,"=事",C22:AG22))</f>
        <v>0</v>
      </c>
      <c r="AL21" s="72">
        <f>SUMIF(C4:AG4,"P",C21:AG22)</f>
        <v>9</v>
      </c>
      <c r="AM21" s="68">
        <f>SUMIF(C4:AG4,"S",C21:AG22)</f>
        <v>59.5</v>
      </c>
      <c r="AN21" s="79">
        <f>SUMIF(C4:AG4,"G",C21:AG22)</f>
        <v>0</v>
      </c>
      <c r="AO21" s="167">
        <f>AH21+'2026-02'!AO21</f>
        <v>2</v>
      </c>
      <c r="AP21" s="201"/>
    </row>
    <row r="22" spans="1:42" s="1" customFormat="1" ht="15.95" customHeight="1">
      <c r="A22" s="175"/>
      <c r="B22" s="177"/>
      <c r="C22" s="225"/>
      <c r="D22" s="198"/>
      <c r="E22" s="198"/>
      <c r="F22" s="233"/>
      <c r="G22" s="233"/>
      <c r="H22" s="198"/>
      <c r="I22" s="225"/>
      <c r="J22" s="225"/>
      <c r="K22" s="204"/>
      <c r="L22" s="263"/>
      <c r="M22" s="50"/>
      <c r="N22" s="38"/>
      <c r="O22" s="235"/>
      <c r="P22" s="225"/>
      <c r="Q22" s="225"/>
      <c r="R22" s="204"/>
      <c r="S22" s="204"/>
      <c r="T22" s="233"/>
      <c r="U22" s="198"/>
      <c r="V22" s="198"/>
      <c r="W22" s="225"/>
      <c r="X22" s="225"/>
      <c r="Y22" s="198"/>
      <c r="Z22" s="233"/>
      <c r="AA22" s="233"/>
      <c r="AB22" s="198"/>
      <c r="AC22" s="198"/>
      <c r="AD22" s="225"/>
      <c r="AE22" s="225"/>
      <c r="AF22" s="204"/>
      <c r="AG22" s="204"/>
      <c r="AH22" s="164"/>
      <c r="AI22" s="166"/>
      <c r="AJ22" s="166"/>
      <c r="AK22" s="166"/>
      <c r="AL22" s="171">
        <f>IF(SUM(C21:AG21)-AI21=0,"√",SUM(C21:AG21)-AI21)</f>
        <v>68.5</v>
      </c>
      <c r="AM22" s="172"/>
      <c r="AN22" s="173"/>
      <c r="AO22" s="168"/>
      <c r="AP22" s="201"/>
    </row>
    <row r="23" spans="1:42" s="1" customFormat="1" ht="15.95" customHeight="1">
      <c r="A23" s="185">
        <v>10</v>
      </c>
      <c r="B23" s="186" t="s">
        <v>12</v>
      </c>
      <c r="C23" s="224"/>
      <c r="D23" s="197"/>
      <c r="E23" s="197"/>
      <c r="F23" s="233"/>
      <c r="G23" s="233"/>
      <c r="H23" s="197">
        <v>3</v>
      </c>
      <c r="I23" s="224"/>
      <c r="J23" s="224">
        <v>8.5</v>
      </c>
      <c r="K23" s="18"/>
      <c r="L23" s="233"/>
      <c r="M23" s="198"/>
      <c r="N23" s="198"/>
      <c r="O23" s="197"/>
      <c r="P23" s="224"/>
      <c r="Q23" s="224">
        <v>8.5</v>
      </c>
      <c r="R23" s="197"/>
      <c r="S23" s="233"/>
      <c r="T23" s="233"/>
      <c r="U23" s="197">
        <v>3</v>
      </c>
      <c r="V23" s="197">
        <v>3</v>
      </c>
      <c r="W23" s="224">
        <v>8.5</v>
      </c>
      <c r="X23" s="224">
        <v>8.5</v>
      </c>
      <c r="Y23" s="197"/>
      <c r="Z23" s="233"/>
      <c r="AA23" s="233"/>
      <c r="AB23" s="197"/>
      <c r="AC23" s="197"/>
      <c r="AD23" s="224">
        <v>8.5</v>
      </c>
      <c r="AE23" s="229">
        <v>8.5</v>
      </c>
      <c r="AF23" s="197"/>
      <c r="AG23" s="197"/>
      <c r="AH23" s="189">
        <f>-(SUMIF(C23:AG23,"=年",C24:AG24))</f>
        <v>0</v>
      </c>
      <c r="AI23" s="193">
        <f>-(SUMIF(C23:AG23,"=调",C24:AG24))</f>
        <v>0</v>
      </c>
      <c r="AJ23" s="193">
        <f>-(SUMIF(C23:AG23,"=病",C24:AG24))</f>
        <v>0</v>
      </c>
      <c r="AK23" s="193">
        <f>-(SUMIF(C23:AG23,"=事",C24:AG24))</f>
        <v>0</v>
      </c>
      <c r="AL23" s="71">
        <f>SUMIF(C4:AG4,"P",C23:AG24)</f>
        <v>9</v>
      </c>
      <c r="AM23" s="46">
        <f>SUMIF(C4:AG4,"S",C23:AG24)</f>
        <v>51</v>
      </c>
      <c r="AN23" s="78">
        <f>SUMIF(C4:AG4,"G",C23:AG24)</f>
        <v>0</v>
      </c>
      <c r="AO23" s="167">
        <f>AH23+'2026-02'!AO23</f>
        <v>1.5</v>
      </c>
      <c r="AP23" s="217"/>
    </row>
    <row r="24" spans="1:42" s="1" customFormat="1" ht="15.95" customHeight="1">
      <c r="A24" s="185"/>
      <c r="B24" s="186"/>
      <c r="C24" s="225"/>
      <c r="D24" s="198"/>
      <c r="E24" s="198"/>
      <c r="F24" s="233"/>
      <c r="G24" s="233"/>
      <c r="H24" s="198"/>
      <c r="I24" s="225"/>
      <c r="J24" s="225"/>
      <c r="K24" s="50"/>
      <c r="L24" s="233"/>
      <c r="M24" s="233"/>
      <c r="N24" s="233"/>
      <c r="O24" s="198"/>
      <c r="P24" s="225"/>
      <c r="Q24" s="225"/>
      <c r="R24" s="198"/>
      <c r="S24" s="197"/>
      <c r="T24" s="197"/>
      <c r="U24" s="204"/>
      <c r="V24" s="198"/>
      <c r="W24" s="225"/>
      <c r="X24" s="225"/>
      <c r="Y24" s="198"/>
      <c r="Z24" s="233"/>
      <c r="AA24" s="233"/>
      <c r="AB24" s="198"/>
      <c r="AC24" s="198"/>
      <c r="AD24" s="225"/>
      <c r="AE24" s="229"/>
      <c r="AF24" s="198"/>
      <c r="AG24" s="198"/>
      <c r="AH24" s="180"/>
      <c r="AI24" s="194"/>
      <c r="AJ24" s="194"/>
      <c r="AK24" s="194"/>
      <c r="AL24" s="190">
        <f>IF(SUM(C23:AG23)-AI23=0,"√",SUM(C23:AG23)-AI23)</f>
        <v>60</v>
      </c>
      <c r="AM24" s="191"/>
      <c r="AN24" s="200"/>
      <c r="AO24" s="168"/>
      <c r="AP24" s="196"/>
    </row>
    <row r="25" spans="1:42" s="1" customFormat="1" ht="15.95" customHeight="1">
      <c r="A25" s="185">
        <v>11</v>
      </c>
      <c r="B25" s="186" t="s">
        <v>14</v>
      </c>
      <c r="C25" s="224">
        <v>8.5</v>
      </c>
      <c r="D25" s="197"/>
      <c r="E25" s="197"/>
      <c r="F25" s="233"/>
      <c r="G25" s="233"/>
      <c r="H25" s="197">
        <v>3</v>
      </c>
      <c r="I25" s="224"/>
      <c r="J25" s="224">
        <v>8.5</v>
      </c>
      <c r="K25" s="234"/>
      <c r="L25" s="233"/>
      <c r="M25" s="233"/>
      <c r="N25" s="233"/>
      <c r="O25" s="197"/>
      <c r="P25" s="224">
        <v>8.5</v>
      </c>
      <c r="Q25" s="228"/>
      <c r="R25" s="265"/>
      <c r="S25" s="18" t="s">
        <v>21</v>
      </c>
      <c r="T25" s="18" t="s">
        <v>21</v>
      </c>
      <c r="U25" s="18" t="s">
        <v>21</v>
      </c>
      <c r="V25" s="18" t="s">
        <v>21</v>
      </c>
      <c r="W25" s="224">
        <v>8.5</v>
      </c>
      <c r="X25" s="224">
        <v>8.5</v>
      </c>
      <c r="Y25" s="197"/>
      <c r="Z25" s="233"/>
      <c r="AA25" s="233"/>
      <c r="AB25" s="197"/>
      <c r="AC25" s="197"/>
      <c r="AD25" s="224"/>
      <c r="AE25" s="224">
        <v>8.5</v>
      </c>
      <c r="AF25" s="197"/>
      <c r="AG25" s="16"/>
      <c r="AH25" s="189">
        <f>-(SUMIF(C25:AG25,"=年",C26:AG26))</f>
        <v>32</v>
      </c>
      <c r="AI25" s="193">
        <f>-(SUMIF(C25:AG25,"=调",C26:AG26))</f>
        <v>0</v>
      </c>
      <c r="AJ25" s="193">
        <f>-(SUMIF(C25:AG25,"=病",C26:AG26))</f>
        <v>0</v>
      </c>
      <c r="AK25" s="193">
        <f>-(SUMIF(C25:AG25,"=事",C26:AG26))</f>
        <v>0</v>
      </c>
      <c r="AL25" s="71">
        <f>SUMIF(C4:AG4,"P",C25:AG26)</f>
        <v>3</v>
      </c>
      <c r="AM25" s="46">
        <f>SUMIF(C4:AG4,"S",C25:AG26)</f>
        <v>51</v>
      </c>
      <c r="AN25" s="78">
        <f>SUMIF(C4:AG4,"G",C25:AG26)</f>
        <v>0</v>
      </c>
      <c r="AO25" s="167">
        <f>AH25+'2026-02'!AO25</f>
        <v>32</v>
      </c>
      <c r="AP25" s="217"/>
    </row>
    <row r="26" spans="1:42" s="1" customFormat="1" ht="15.95" customHeight="1">
      <c r="A26" s="185"/>
      <c r="B26" s="186"/>
      <c r="C26" s="225"/>
      <c r="D26" s="198"/>
      <c r="E26" s="198"/>
      <c r="F26" s="233"/>
      <c r="G26" s="233"/>
      <c r="H26" s="198"/>
      <c r="I26" s="225"/>
      <c r="J26" s="225"/>
      <c r="K26" s="235"/>
      <c r="L26" s="233"/>
      <c r="M26" s="233"/>
      <c r="N26" s="233"/>
      <c r="O26" s="198"/>
      <c r="P26" s="225"/>
      <c r="Q26" s="228"/>
      <c r="R26" s="266"/>
      <c r="S26" s="50">
        <v>-8</v>
      </c>
      <c r="T26" s="50">
        <v>-8</v>
      </c>
      <c r="U26" s="50">
        <v>-8</v>
      </c>
      <c r="V26" s="50">
        <v>-8</v>
      </c>
      <c r="W26" s="225"/>
      <c r="X26" s="225"/>
      <c r="Y26" s="198"/>
      <c r="Z26" s="233"/>
      <c r="AA26" s="233"/>
      <c r="AB26" s="198"/>
      <c r="AC26" s="198"/>
      <c r="AD26" s="225"/>
      <c r="AE26" s="225"/>
      <c r="AF26" s="198"/>
      <c r="AG26" s="15"/>
      <c r="AH26" s="180"/>
      <c r="AI26" s="194"/>
      <c r="AJ26" s="194"/>
      <c r="AK26" s="194"/>
      <c r="AL26" s="190">
        <f>IF(SUM(C25:AG25)-AI25=0,"√",SUM(C25:AG25)-AI25)</f>
        <v>54</v>
      </c>
      <c r="AM26" s="191"/>
      <c r="AN26" s="200"/>
      <c r="AO26" s="168"/>
      <c r="AP26" s="196"/>
    </row>
    <row r="27" spans="1:42" s="1" customFormat="1" ht="15.95" customHeight="1">
      <c r="A27" s="182">
        <v>12</v>
      </c>
      <c r="B27" s="183" t="s">
        <v>34</v>
      </c>
      <c r="C27" s="93"/>
      <c r="D27" s="204"/>
      <c r="E27" s="18"/>
      <c r="F27" s="197"/>
      <c r="G27" s="197"/>
      <c r="H27" s="16"/>
      <c r="I27" s="85"/>
      <c r="J27" s="85"/>
      <c r="K27" s="16"/>
      <c r="L27" s="197">
        <v>1.5</v>
      </c>
      <c r="M27" s="16"/>
      <c r="N27" s="16"/>
      <c r="O27" s="16"/>
      <c r="P27" s="224"/>
      <c r="Q27" s="229"/>
      <c r="R27" s="204"/>
      <c r="S27" s="16"/>
      <c r="T27" s="16"/>
      <c r="U27" s="16"/>
      <c r="V27" s="204"/>
      <c r="W27" s="85"/>
      <c r="X27" s="85"/>
      <c r="Y27" s="197"/>
      <c r="Z27" s="18"/>
      <c r="AA27" s="18"/>
      <c r="AB27" s="18"/>
      <c r="AC27" s="18"/>
      <c r="AD27" s="85"/>
      <c r="AE27" s="85"/>
      <c r="AF27" s="204"/>
      <c r="AG27" s="204"/>
      <c r="AH27" s="164">
        <f>-(SUMIF(C27:AG27,"=年",C28:AG28))</f>
        <v>0</v>
      </c>
      <c r="AI27" s="166">
        <f>-(SUMIF(C27:AG27,"=调",C28:AG28))</f>
        <v>0</v>
      </c>
      <c r="AJ27" s="166">
        <f>-(SUMIF(C27:AG27,"=病",C28:AG28))</f>
        <v>0</v>
      </c>
      <c r="AK27" s="166">
        <f>-(SUMIF(C27:AG27,"=事",C28:AG28))</f>
        <v>0</v>
      </c>
      <c r="AL27" s="72">
        <f>SUMIF(C4:AG4,"P",C27:AG28)</f>
        <v>1.5</v>
      </c>
      <c r="AM27" s="68">
        <f>SUMIF(C4:AG4,"S",C27:AG28)-AI27</f>
        <v>0</v>
      </c>
      <c r="AN27" s="79">
        <f>SUMIF(C4:AG4,"G",C27:AG28)</f>
        <v>0</v>
      </c>
      <c r="AO27" s="167">
        <f>AH27+'2026-02'!AO27</f>
        <v>43</v>
      </c>
      <c r="AP27" s="217"/>
    </row>
    <row r="28" spans="1:42" s="1" customFormat="1" ht="15.95" customHeight="1" thickBot="1">
      <c r="A28" s="231"/>
      <c r="B28" s="232"/>
      <c r="C28" s="94"/>
      <c r="D28" s="227"/>
      <c r="E28" s="55"/>
      <c r="F28" s="227"/>
      <c r="G28" s="227"/>
      <c r="H28" s="39"/>
      <c r="I28" s="88"/>
      <c r="J28" s="88"/>
      <c r="K28" s="39"/>
      <c r="L28" s="227"/>
      <c r="M28" s="39"/>
      <c r="N28" s="39"/>
      <c r="O28" s="39"/>
      <c r="P28" s="230"/>
      <c r="Q28" s="230"/>
      <c r="R28" s="227"/>
      <c r="S28" s="39"/>
      <c r="T28" s="39"/>
      <c r="U28" s="39"/>
      <c r="V28" s="227"/>
      <c r="W28" s="88"/>
      <c r="X28" s="88"/>
      <c r="Y28" s="227"/>
      <c r="Z28" s="55"/>
      <c r="AA28" s="55"/>
      <c r="AB28" s="55"/>
      <c r="AC28" s="55"/>
      <c r="AD28" s="88"/>
      <c r="AE28" s="88"/>
      <c r="AF28" s="227"/>
      <c r="AG28" s="227"/>
      <c r="AH28" s="223"/>
      <c r="AI28" s="211"/>
      <c r="AJ28" s="211"/>
      <c r="AK28" s="211"/>
      <c r="AL28" s="213">
        <f>IF(SUM(C27:AG27)-AI27=0,"√",SUM(C27:AG27)-AI27)</f>
        <v>1.5</v>
      </c>
      <c r="AM28" s="214"/>
      <c r="AN28" s="215"/>
      <c r="AO28" s="168"/>
      <c r="AP28" s="226"/>
    </row>
    <row r="29" spans="1:42" ht="37.15" customHeight="1">
      <c r="A29" s="216" t="s">
        <v>31</v>
      </c>
      <c r="B29" s="216"/>
      <c r="C29" s="216"/>
      <c r="D29" s="216"/>
      <c r="E29" s="216"/>
      <c r="F29" s="216"/>
      <c r="G29" s="216"/>
      <c r="H29" s="216"/>
      <c r="I29" s="216"/>
      <c r="J29" s="216"/>
      <c r="K29" s="216"/>
      <c r="L29" s="216"/>
      <c r="M29" s="216"/>
      <c r="N29" s="216"/>
      <c r="O29" s="216"/>
      <c r="P29" s="216"/>
      <c r="Q29" s="216"/>
      <c r="R29" s="216"/>
      <c r="S29" s="216"/>
      <c r="T29" s="216"/>
      <c r="U29" s="216"/>
      <c r="V29" s="216"/>
      <c r="W29" s="216"/>
      <c r="X29" s="216"/>
      <c r="Y29" s="216"/>
      <c r="Z29" s="216"/>
      <c r="AA29" s="216"/>
      <c r="AB29" s="216"/>
      <c r="AC29" s="216"/>
      <c r="AD29" s="216"/>
      <c r="AE29" s="216"/>
      <c r="AF29" s="216"/>
      <c r="AG29" s="216"/>
      <c r="AH29" s="216"/>
      <c r="AI29" s="216"/>
      <c r="AJ29" s="216"/>
      <c r="AK29" s="216"/>
      <c r="AL29" s="216"/>
      <c r="AM29" s="216"/>
      <c r="AN29" s="216"/>
      <c r="AO29" s="216"/>
      <c r="AP29" s="216"/>
    </row>
    <row r="30" spans="1:42" ht="34.9" customHeight="1">
      <c r="A30" s="3" t="s">
        <v>13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P30" s="3"/>
      <c r="Q30" s="3"/>
      <c r="R30" s="3"/>
      <c r="S30" s="3" t="s">
        <v>23</v>
      </c>
      <c r="T30" s="3"/>
      <c r="U30" s="3"/>
      <c r="V30" s="3"/>
      <c r="W30" s="3"/>
      <c r="X30" s="3"/>
      <c r="Y30" s="3"/>
      <c r="Z30" s="3"/>
      <c r="AA30" s="3"/>
      <c r="AB30" s="3"/>
      <c r="AD30" s="3"/>
      <c r="AE30" s="3"/>
      <c r="AG30" s="4"/>
      <c r="AI30" s="4"/>
      <c r="AJ30" s="3" t="s">
        <v>10</v>
      </c>
      <c r="AK30" s="4"/>
      <c r="AL30" s="4"/>
      <c r="AM30" s="4"/>
      <c r="AN30" s="4"/>
      <c r="AO30" s="4"/>
      <c r="AP30" s="4"/>
    </row>
    <row r="31" spans="1:4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</row>
  </sheetData>
  <mergeCells count="387">
    <mergeCell ref="A1:AP1"/>
    <mergeCell ref="A2:A4"/>
    <mergeCell ref="B2:B4"/>
    <mergeCell ref="C2:AG2"/>
    <mergeCell ref="AO2:AO4"/>
    <mergeCell ref="T5:T6"/>
    <mergeCell ref="Y5:Y6"/>
    <mergeCell ref="AP2:AP4"/>
    <mergeCell ref="A5:A6"/>
    <mergeCell ref="B5:B6"/>
    <mergeCell ref="D5:D6"/>
    <mergeCell ref="E5:E6"/>
    <mergeCell ref="F5:F6"/>
    <mergeCell ref="L5:L6"/>
    <mergeCell ref="AL3:AN3"/>
    <mergeCell ref="AH2:AN2"/>
    <mergeCell ref="AH3:AK3"/>
    <mergeCell ref="M7:M8"/>
    <mergeCell ref="O7:O8"/>
    <mergeCell ref="P7:P8"/>
    <mergeCell ref="Q7:Q8"/>
    <mergeCell ref="AK5:AK6"/>
    <mergeCell ref="AO5:AO6"/>
    <mergeCell ref="AP5:AP6"/>
    <mergeCell ref="AL6:AN6"/>
    <mergeCell ref="A7:A8"/>
    <mergeCell ref="B7:B8"/>
    <mergeCell ref="D7:D8"/>
    <mergeCell ref="E7:E8"/>
    <mergeCell ref="I7:I8"/>
    <mergeCell ref="J7:J8"/>
    <mergeCell ref="Z5:Z6"/>
    <mergeCell ref="AB5:AB6"/>
    <mergeCell ref="AC5:AC6"/>
    <mergeCell ref="AH5:AH6"/>
    <mergeCell ref="AI5:AI6"/>
    <mergeCell ref="AJ5:AJ6"/>
    <mergeCell ref="M5:M6"/>
    <mergeCell ref="N5:N6"/>
    <mergeCell ref="O5:O6"/>
    <mergeCell ref="R5:R6"/>
    <mergeCell ref="AP7:AP8"/>
    <mergeCell ref="AL8:AN8"/>
    <mergeCell ref="A9:A10"/>
    <mergeCell ref="B9:B10"/>
    <mergeCell ref="D9:D10"/>
    <mergeCell ref="E9:E10"/>
    <mergeCell ref="H9:H10"/>
    <mergeCell ref="I9:I10"/>
    <mergeCell ref="L9:L10"/>
    <mergeCell ref="S9:S10"/>
    <mergeCell ref="AG7:AG8"/>
    <mergeCell ref="AH7:AH8"/>
    <mergeCell ref="AI7:AI8"/>
    <mergeCell ref="AJ7:AJ8"/>
    <mergeCell ref="AK7:AK8"/>
    <mergeCell ref="AO7:AO8"/>
    <mergeCell ref="R7:R8"/>
    <mergeCell ref="S7:S8"/>
    <mergeCell ref="T7:T8"/>
    <mergeCell ref="V7:V8"/>
    <mergeCell ref="W7:W8"/>
    <mergeCell ref="X7:X8"/>
    <mergeCell ref="K7:K8"/>
    <mergeCell ref="L7:L8"/>
    <mergeCell ref="A11:A12"/>
    <mergeCell ref="B11:B12"/>
    <mergeCell ref="C11:C12"/>
    <mergeCell ref="D11:D12"/>
    <mergeCell ref="E11:E12"/>
    <mergeCell ref="F11:F12"/>
    <mergeCell ref="G11:G12"/>
    <mergeCell ref="AF9:AF10"/>
    <mergeCell ref="AG9:AG10"/>
    <mergeCell ref="T9:T10"/>
    <mergeCell ref="U9:U10"/>
    <mergeCell ref="X9:X10"/>
    <mergeCell ref="Y9:Y10"/>
    <mergeCell ref="AB9:AB10"/>
    <mergeCell ref="AE9:AE10"/>
    <mergeCell ref="H11:H12"/>
    <mergeCell ref="I11:I12"/>
    <mergeCell ref="J11:J12"/>
    <mergeCell ref="K11:K12"/>
    <mergeCell ref="L11:L12"/>
    <mergeCell ref="M11:M12"/>
    <mergeCell ref="V11:V12"/>
    <mergeCell ref="W11:W12"/>
    <mergeCell ref="X11:X12"/>
    <mergeCell ref="AO9:AO10"/>
    <mergeCell ref="AP9:AP10"/>
    <mergeCell ref="AL10:AN10"/>
    <mergeCell ref="AH9:AH10"/>
    <mergeCell ref="AI9:AI10"/>
    <mergeCell ref="AJ9:AJ10"/>
    <mergeCell ref="AK9:AK10"/>
    <mergeCell ref="A13:A14"/>
    <mergeCell ref="B13:B14"/>
    <mergeCell ref="C13:C14"/>
    <mergeCell ref="E13:E14"/>
    <mergeCell ref="F13:F14"/>
    <mergeCell ref="G13:G14"/>
    <mergeCell ref="I13:I14"/>
    <mergeCell ref="AF11:AF12"/>
    <mergeCell ref="AG11:AG12"/>
    <mergeCell ref="Z11:Z12"/>
    <mergeCell ref="AA11:AA12"/>
    <mergeCell ref="AB11:AB12"/>
    <mergeCell ref="AC11:AC12"/>
    <mergeCell ref="AD11:AD12"/>
    <mergeCell ref="AE11:AE12"/>
    <mergeCell ref="T11:T12"/>
    <mergeCell ref="U11:U12"/>
    <mergeCell ref="N11:N12"/>
    <mergeCell ref="O11:O12"/>
    <mergeCell ref="P11:P12"/>
    <mergeCell ref="J13:J14"/>
    <mergeCell ref="L13:L14"/>
    <mergeCell ref="M13:M14"/>
    <mergeCell ref="N13:N14"/>
    <mergeCell ref="O13:O14"/>
    <mergeCell ref="P13:P14"/>
    <mergeCell ref="AO11:AO12"/>
    <mergeCell ref="AP11:AP12"/>
    <mergeCell ref="AL12:AN12"/>
    <mergeCell ref="AH11:AH12"/>
    <mergeCell ref="AI11:AI12"/>
    <mergeCell ref="AJ11:AJ12"/>
    <mergeCell ref="AK11:AK12"/>
    <mergeCell ref="Q11:Q12"/>
    <mergeCell ref="R11:R12"/>
    <mergeCell ref="S11:S12"/>
    <mergeCell ref="Y11:Y12"/>
    <mergeCell ref="Z13:Z14"/>
    <mergeCell ref="AA13:AA14"/>
    <mergeCell ref="AB13:AB14"/>
    <mergeCell ref="Q13:Q14"/>
    <mergeCell ref="R13:R14"/>
    <mergeCell ref="S13:S14"/>
    <mergeCell ref="T13:T14"/>
    <mergeCell ref="AI13:AI14"/>
    <mergeCell ref="AJ13:AJ14"/>
    <mergeCell ref="W13:W14"/>
    <mergeCell ref="X13:X14"/>
    <mergeCell ref="Y13:Y14"/>
    <mergeCell ref="AK13:AK14"/>
    <mergeCell ref="AO13:AO14"/>
    <mergeCell ref="AP13:AP14"/>
    <mergeCell ref="AL14:AN14"/>
    <mergeCell ref="AC13:AC14"/>
    <mergeCell ref="AD13:AD14"/>
    <mergeCell ref="AE13:AE14"/>
    <mergeCell ref="AF13:AF14"/>
    <mergeCell ref="AG13:AG14"/>
    <mergeCell ref="AH13:AH14"/>
    <mergeCell ref="H15:H16"/>
    <mergeCell ref="I15:I16"/>
    <mergeCell ref="J15:J16"/>
    <mergeCell ref="K15:K16"/>
    <mergeCell ref="L15:L16"/>
    <mergeCell ref="A15:A16"/>
    <mergeCell ref="B15:B16"/>
    <mergeCell ref="C15:C16"/>
    <mergeCell ref="D15:D16"/>
    <mergeCell ref="E15:E16"/>
    <mergeCell ref="F15:F16"/>
    <mergeCell ref="V15:V16"/>
    <mergeCell ref="W15:W16"/>
    <mergeCell ref="X15:X16"/>
    <mergeCell ref="Y15:Y16"/>
    <mergeCell ref="M15:M16"/>
    <mergeCell ref="N15:N16"/>
    <mergeCell ref="O15:O16"/>
    <mergeCell ref="P15:P16"/>
    <mergeCell ref="Q15:Q16"/>
    <mergeCell ref="S15:S16"/>
    <mergeCell ref="AP15:AP16"/>
    <mergeCell ref="AL16:AN16"/>
    <mergeCell ref="A17:A18"/>
    <mergeCell ref="B17:B18"/>
    <mergeCell ref="D17:D18"/>
    <mergeCell ref="E17:E18"/>
    <mergeCell ref="F17:F18"/>
    <mergeCell ref="G17:G18"/>
    <mergeCell ref="H17:H18"/>
    <mergeCell ref="I17:I18"/>
    <mergeCell ref="AG15:AG16"/>
    <mergeCell ref="AH15:AH16"/>
    <mergeCell ref="AI15:AI16"/>
    <mergeCell ref="AJ15:AJ16"/>
    <mergeCell ref="AK15:AK16"/>
    <mergeCell ref="AO15:AO16"/>
    <mergeCell ref="Z15:Z16"/>
    <mergeCell ref="AA15:AA16"/>
    <mergeCell ref="AB15:AB16"/>
    <mergeCell ref="AC15:AC16"/>
    <mergeCell ref="AD15:AD16"/>
    <mergeCell ref="AF15:AF16"/>
    <mergeCell ref="T15:T16"/>
    <mergeCell ref="U15:U16"/>
    <mergeCell ref="AP17:AP18"/>
    <mergeCell ref="AL18:AN18"/>
    <mergeCell ref="A19:A20"/>
    <mergeCell ref="B19:B20"/>
    <mergeCell ref="C19:C20"/>
    <mergeCell ref="E19:E20"/>
    <mergeCell ref="F19:F20"/>
    <mergeCell ref="X17:X18"/>
    <mergeCell ref="Y17:Y18"/>
    <mergeCell ref="Z17:Z18"/>
    <mergeCell ref="AE17:AE18"/>
    <mergeCell ref="AH17:AH18"/>
    <mergeCell ref="AI17:AI18"/>
    <mergeCell ref="J17:J18"/>
    <mergeCell ref="R17:R18"/>
    <mergeCell ref="T17:T18"/>
    <mergeCell ref="U17:U18"/>
    <mergeCell ref="V17:V18"/>
    <mergeCell ref="W17:W18"/>
    <mergeCell ref="G19:G20"/>
    <mergeCell ref="H19:H20"/>
    <mergeCell ref="I19:I20"/>
    <mergeCell ref="J19:J20"/>
    <mergeCell ref="K19:K20"/>
    <mergeCell ref="AJ17:AJ18"/>
    <mergeCell ref="AK17:AK18"/>
    <mergeCell ref="AO17:AO18"/>
    <mergeCell ref="T19:T20"/>
    <mergeCell ref="U19:U20"/>
    <mergeCell ref="V19:V20"/>
    <mergeCell ref="W19:W20"/>
    <mergeCell ref="X19:X20"/>
    <mergeCell ref="Z19:Z20"/>
    <mergeCell ref="AI19:AI20"/>
    <mergeCell ref="AJ19:AJ20"/>
    <mergeCell ref="AK19:AK20"/>
    <mergeCell ref="AO19:AO20"/>
    <mergeCell ref="AP19:AP20"/>
    <mergeCell ref="AL20:AN20"/>
    <mergeCell ref="AA19:AA20"/>
    <mergeCell ref="AC19:AC20"/>
    <mergeCell ref="AD19:AD20"/>
    <mergeCell ref="AF19:AF20"/>
    <mergeCell ref="AG19:AG20"/>
    <mergeCell ref="AH19:AH20"/>
    <mergeCell ref="G21:G22"/>
    <mergeCell ref="H21:H22"/>
    <mergeCell ref="I21:I22"/>
    <mergeCell ref="J21:J22"/>
    <mergeCell ref="K21:K22"/>
    <mergeCell ref="L21:L22"/>
    <mergeCell ref="L19:L20"/>
    <mergeCell ref="M19:M20"/>
    <mergeCell ref="N19:N20"/>
    <mergeCell ref="O19:O20"/>
    <mergeCell ref="P19:P20"/>
    <mergeCell ref="Q19:Q20"/>
    <mergeCell ref="S19:S20"/>
    <mergeCell ref="A21:A22"/>
    <mergeCell ref="B21:B22"/>
    <mergeCell ref="C21:C22"/>
    <mergeCell ref="D21:D22"/>
    <mergeCell ref="E21:E22"/>
    <mergeCell ref="F21:F22"/>
    <mergeCell ref="AF21:AF22"/>
    <mergeCell ref="U21:U22"/>
    <mergeCell ref="V21:V22"/>
    <mergeCell ref="W21:W22"/>
    <mergeCell ref="X21:X22"/>
    <mergeCell ref="Y21:Y22"/>
    <mergeCell ref="Z21:Z22"/>
    <mergeCell ref="O21:O22"/>
    <mergeCell ref="P21:P22"/>
    <mergeCell ref="Q21:Q22"/>
    <mergeCell ref="R21:R22"/>
    <mergeCell ref="S21:S22"/>
    <mergeCell ref="T21:T22"/>
    <mergeCell ref="M23:M24"/>
    <mergeCell ref="N23:N24"/>
    <mergeCell ref="O23:O24"/>
    <mergeCell ref="AP21:AP22"/>
    <mergeCell ref="AL22:AN22"/>
    <mergeCell ref="A23:A24"/>
    <mergeCell ref="B23:B24"/>
    <mergeCell ref="C23:C24"/>
    <mergeCell ref="D23:D24"/>
    <mergeCell ref="E23:E24"/>
    <mergeCell ref="F23:F24"/>
    <mergeCell ref="G23:G24"/>
    <mergeCell ref="H23:H24"/>
    <mergeCell ref="AG21:AG22"/>
    <mergeCell ref="AH21:AH22"/>
    <mergeCell ref="AI21:AI22"/>
    <mergeCell ref="AJ21:AJ22"/>
    <mergeCell ref="AK21:AK22"/>
    <mergeCell ref="AO21:AO22"/>
    <mergeCell ref="AA21:AA22"/>
    <mergeCell ref="AB21:AB22"/>
    <mergeCell ref="AC21:AC22"/>
    <mergeCell ref="AD21:AD22"/>
    <mergeCell ref="AE21:AE22"/>
    <mergeCell ref="AK23:AK24"/>
    <mergeCell ref="AO23:AO24"/>
    <mergeCell ref="AP23:AP24"/>
    <mergeCell ref="AL24:AN24"/>
    <mergeCell ref="AB23:AB24"/>
    <mergeCell ref="AC23:AC24"/>
    <mergeCell ref="AD23:AD24"/>
    <mergeCell ref="AE23:AE24"/>
    <mergeCell ref="AF23:AF24"/>
    <mergeCell ref="AG23:AG24"/>
    <mergeCell ref="A25:A26"/>
    <mergeCell ref="B25:B26"/>
    <mergeCell ref="D25:D26"/>
    <mergeCell ref="E25:E26"/>
    <mergeCell ref="F25:F26"/>
    <mergeCell ref="G25:G26"/>
    <mergeCell ref="AH23:AH24"/>
    <mergeCell ref="AI23:AI24"/>
    <mergeCell ref="AJ23:AJ24"/>
    <mergeCell ref="V23:V24"/>
    <mergeCell ref="W23:W24"/>
    <mergeCell ref="X23:X24"/>
    <mergeCell ref="Y23:Y24"/>
    <mergeCell ref="Z23:Z24"/>
    <mergeCell ref="AA23:AA24"/>
    <mergeCell ref="P23:P24"/>
    <mergeCell ref="Q23:Q24"/>
    <mergeCell ref="R23:R24"/>
    <mergeCell ref="S23:S24"/>
    <mergeCell ref="T23:T24"/>
    <mergeCell ref="U23:U24"/>
    <mergeCell ref="I23:I24"/>
    <mergeCell ref="J23:J24"/>
    <mergeCell ref="L23:L24"/>
    <mergeCell ref="H25:H26"/>
    <mergeCell ref="I25:I26"/>
    <mergeCell ref="K25:K26"/>
    <mergeCell ref="L25:L26"/>
    <mergeCell ref="M25:M26"/>
    <mergeCell ref="N25:N26"/>
    <mergeCell ref="AP25:AP26"/>
    <mergeCell ref="AL26:AN26"/>
    <mergeCell ref="AA25:AA26"/>
    <mergeCell ref="AB25:AB26"/>
    <mergeCell ref="AC25:AC26"/>
    <mergeCell ref="AD25:AD26"/>
    <mergeCell ref="AE25:AE26"/>
    <mergeCell ref="AF25:AF26"/>
    <mergeCell ref="W25:W26"/>
    <mergeCell ref="X25:X26"/>
    <mergeCell ref="Y25:Y26"/>
    <mergeCell ref="Z25:Z26"/>
    <mergeCell ref="P27:P28"/>
    <mergeCell ref="AH25:AH26"/>
    <mergeCell ref="AI25:AI26"/>
    <mergeCell ref="AJ25:AJ26"/>
    <mergeCell ref="AK25:AK26"/>
    <mergeCell ref="AO25:AO26"/>
    <mergeCell ref="O25:O26"/>
    <mergeCell ref="P25:P26"/>
    <mergeCell ref="Q25:Q26"/>
    <mergeCell ref="R25:R26"/>
    <mergeCell ref="A29:AP29"/>
    <mergeCell ref="P9:P10"/>
    <mergeCell ref="H13:H14"/>
    <mergeCell ref="J25:J26"/>
    <mergeCell ref="C25:C26"/>
    <mergeCell ref="L27:L28"/>
    <mergeCell ref="AH27:AH28"/>
    <mergeCell ref="AI27:AI28"/>
    <mergeCell ref="AJ27:AJ28"/>
    <mergeCell ref="AK27:AK28"/>
    <mergeCell ref="AO27:AO28"/>
    <mergeCell ref="AP27:AP28"/>
    <mergeCell ref="AL28:AN28"/>
    <mergeCell ref="Q27:Q28"/>
    <mergeCell ref="R27:R28"/>
    <mergeCell ref="V27:V28"/>
    <mergeCell ref="Y27:Y28"/>
    <mergeCell ref="AF27:AF28"/>
    <mergeCell ref="AG27:AG28"/>
    <mergeCell ref="A27:A28"/>
    <mergeCell ref="B27:B28"/>
    <mergeCell ref="D27:D28"/>
    <mergeCell ref="F27:F28"/>
    <mergeCell ref="G27:G28"/>
  </mergeCells>
  <phoneticPr fontId="8" type="noConversion"/>
  <conditionalFormatting sqref="C3 C5:C10 C17:C18 C27:C28">
    <cfRule type="expression" dxfId="31" priority="1">
      <formula>"C4=""S"""</formula>
    </cfRule>
  </conditionalFormatting>
  <pageMargins left="0.25138888888888899" right="0.25138888888888899" top="0.55486111111111103" bottom="0.55486111111111103" header="0.29861111111111099" footer="0.29861111111111099"/>
  <pageSetup paperSize="9" scale="72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274DF-0386-4620-B9B8-6732E6C6FF71}">
  <sheetPr>
    <pageSetUpPr fitToPage="1"/>
  </sheetPr>
  <dimension ref="A1:AP31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O5" sqref="AO5:AO28"/>
    </sheetView>
  </sheetViews>
  <sheetFormatPr defaultColWidth="9" defaultRowHeight="14.25"/>
  <cols>
    <col min="1" max="1" width="6" bestFit="1" customWidth="1"/>
    <col min="2" max="2" width="8.125" customWidth="1"/>
    <col min="3" max="32" width="4.125" customWidth="1"/>
    <col min="33" max="33" width="2.25" customWidth="1"/>
    <col min="34" max="38" width="5.25" bestFit="1" customWidth="1"/>
    <col min="39" max="39" width="7.125" bestFit="1" customWidth="1"/>
    <col min="40" max="40" width="5.25" customWidth="1"/>
    <col min="41" max="41" width="5.25" bestFit="1" customWidth="1"/>
    <col min="42" max="42" width="6.875" customWidth="1"/>
  </cols>
  <sheetData>
    <row r="1" spans="1:42" ht="84" customHeight="1" thickBot="1">
      <c r="A1" s="142" t="s">
        <v>15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  <c r="AD1" s="142"/>
      <c r="AE1" s="142"/>
      <c r="AF1" s="142"/>
      <c r="AG1" s="142"/>
      <c r="AH1" s="142"/>
      <c r="AI1" s="142"/>
      <c r="AJ1" s="142"/>
      <c r="AK1" s="142"/>
      <c r="AL1" s="142"/>
      <c r="AM1" s="142"/>
      <c r="AN1" s="142"/>
      <c r="AO1" s="142"/>
      <c r="AP1" s="142"/>
    </row>
    <row r="2" spans="1:42" ht="31.5" customHeight="1">
      <c r="A2" s="143" t="s">
        <v>0</v>
      </c>
      <c r="B2" s="145" t="s">
        <v>1</v>
      </c>
      <c r="C2" s="147" t="s">
        <v>45</v>
      </c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267" t="s">
        <v>39</v>
      </c>
      <c r="AI2" s="268"/>
      <c r="AJ2" s="268"/>
      <c r="AK2" s="268"/>
      <c r="AL2" s="268"/>
      <c r="AM2" s="268"/>
      <c r="AN2" s="269"/>
      <c r="AO2" s="152" t="s">
        <v>16</v>
      </c>
      <c r="AP2" s="155" t="s">
        <v>24</v>
      </c>
    </row>
    <row r="3" spans="1:42">
      <c r="A3" s="144"/>
      <c r="B3" s="146"/>
      <c r="C3" s="51">
        <v>1</v>
      </c>
      <c r="D3" s="48">
        <v>2</v>
      </c>
      <c r="E3" s="48">
        <v>3</v>
      </c>
      <c r="F3" s="99">
        <v>4</v>
      </c>
      <c r="G3" s="53">
        <v>5</v>
      </c>
      <c r="H3" s="99">
        <v>6</v>
      </c>
      <c r="I3" s="48">
        <v>7</v>
      </c>
      <c r="J3" s="48">
        <v>8</v>
      </c>
      <c r="K3" s="48">
        <v>9</v>
      </c>
      <c r="L3" s="48">
        <v>10</v>
      </c>
      <c r="M3" s="99">
        <v>11</v>
      </c>
      <c r="N3" s="99">
        <v>12</v>
      </c>
      <c r="O3" s="48">
        <v>13</v>
      </c>
      <c r="P3" s="48">
        <v>14</v>
      </c>
      <c r="Q3" s="48">
        <v>15</v>
      </c>
      <c r="R3" s="48">
        <v>16</v>
      </c>
      <c r="S3" s="82">
        <v>17</v>
      </c>
      <c r="T3" s="99">
        <v>18</v>
      </c>
      <c r="U3" s="99">
        <v>19</v>
      </c>
      <c r="V3" s="81">
        <v>20</v>
      </c>
      <c r="W3" s="48">
        <v>21</v>
      </c>
      <c r="X3" s="48">
        <v>22</v>
      </c>
      <c r="Y3" s="48">
        <v>23</v>
      </c>
      <c r="Z3" s="48">
        <v>24</v>
      </c>
      <c r="AA3" s="100">
        <v>25</v>
      </c>
      <c r="AB3" s="100">
        <v>26</v>
      </c>
      <c r="AC3" s="48">
        <v>27</v>
      </c>
      <c r="AD3" s="49">
        <v>28</v>
      </c>
      <c r="AE3" s="48">
        <v>29</v>
      </c>
      <c r="AF3" s="48">
        <v>30</v>
      </c>
      <c r="AG3" s="99">
        <v>31</v>
      </c>
      <c r="AH3" s="160" t="s">
        <v>43</v>
      </c>
      <c r="AI3" s="161"/>
      <c r="AJ3" s="161"/>
      <c r="AK3" s="162"/>
      <c r="AL3" s="160" t="s">
        <v>42</v>
      </c>
      <c r="AM3" s="161"/>
      <c r="AN3" s="162"/>
      <c r="AO3" s="153"/>
      <c r="AP3" s="156"/>
    </row>
    <row r="4" spans="1:42" ht="15" thickBot="1">
      <c r="A4" s="144"/>
      <c r="B4" s="146"/>
      <c r="C4" s="59" t="s">
        <v>29</v>
      </c>
      <c r="D4" s="59" t="s">
        <v>29</v>
      </c>
      <c r="E4" s="59" t="s">
        <v>29</v>
      </c>
      <c r="F4" s="98" t="s">
        <v>30</v>
      </c>
      <c r="G4" s="107" t="s">
        <v>28</v>
      </c>
      <c r="H4" s="98" t="s">
        <v>30</v>
      </c>
      <c r="I4" s="59" t="s">
        <v>29</v>
      </c>
      <c r="J4" s="59" t="s">
        <v>29</v>
      </c>
      <c r="K4" s="59" t="s">
        <v>29</v>
      </c>
      <c r="L4" s="59" t="s">
        <v>29</v>
      </c>
      <c r="M4" s="98" t="s">
        <v>30</v>
      </c>
      <c r="N4" s="98" t="s">
        <v>30</v>
      </c>
      <c r="O4" s="59" t="s">
        <v>29</v>
      </c>
      <c r="P4" s="59" t="s">
        <v>29</v>
      </c>
      <c r="Q4" s="59" t="s">
        <v>29</v>
      </c>
      <c r="R4" s="59" t="s">
        <v>29</v>
      </c>
      <c r="S4" s="83" t="s">
        <v>29</v>
      </c>
      <c r="T4" s="106" t="s">
        <v>30</v>
      </c>
      <c r="U4" s="106" t="s">
        <v>30</v>
      </c>
      <c r="V4" s="59" t="s">
        <v>29</v>
      </c>
      <c r="W4" s="59" t="s">
        <v>29</v>
      </c>
      <c r="X4" s="59" t="s">
        <v>29</v>
      </c>
      <c r="Y4" s="59" t="s">
        <v>29</v>
      </c>
      <c r="Z4" s="59" t="s">
        <v>29</v>
      </c>
      <c r="AA4" s="98" t="s">
        <v>30</v>
      </c>
      <c r="AB4" s="98" t="s">
        <v>30</v>
      </c>
      <c r="AC4" s="59" t="s">
        <v>29</v>
      </c>
      <c r="AD4" s="59" t="s">
        <v>29</v>
      </c>
      <c r="AE4" s="59" t="s">
        <v>29</v>
      </c>
      <c r="AF4" s="59" t="s">
        <v>29</v>
      </c>
      <c r="AG4" s="98"/>
      <c r="AH4" s="101" t="s">
        <v>38</v>
      </c>
      <c r="AI4" s="102" t="s">
        <v>44</v>
      </c>
      <c r="AJ4" s="102" t="s">
        <v>40</v>
      </c>
      <c r="AK4" s="103" t="s">
        <v>41</v>
      </c>
      <c r="AL4" s="101" t="s">
        <v>26</v>
      </c>
      <c r="AM4" s="102" t="s">
        <v>32</v>
      </c>
      <c r="AN4" s="103" t="s">
        <v>27</v>
      </c>
      <c r="AO4" s="154"/>
      <c r="AP4" s="156"/>
    </row>
    <row r="5" spans="1:42" s="1" customFormat="1" ht="15.95" customHeight="1">
      <c r="A5" s="174">
        <v>1</v>
      </c>
      <c r="B5" s="176" t="s">
        <v>2</v>
      </c>
      <c r="C5" s="64" t="s">
        <v>21</v>
      </c>
      <c r="D5" s="242"/>
      <c r="E5" s="242"/>
      <c r="F5" s="241"/>
      <c r="G5" s="62"/>
      <c r="H5" s="104"/>
      <c r="I5" s="64"/>
      <c r="J5" s="64"/>
      <c r="K5" s="64"/>
      <c r="L5" s="242"/>
      <c r="M5" s="241"/>
      <c r="N5" s="241"/>
      <c r="O5" s="242"/>
      <c r="P5" s="64"/>
      <c r="Q5" s="64"/>
      <c r="R5" s="64" t="s">
        <v>21</v>
      </c>
      <c r="S5" s="16"/>
      <c r="T5" s="229"/>
      <c r="U5" s="85"/>
      <c r="V5" s="64"/>
      <c r="W5" s="64"/>
      <c r="X5" s="64"/>
      <c r="Y5" s="242"/>
      <c r="Z5" s="242"/>
      <c r="AA5" s="84"/>
      <c r="AB5" s="241"/>
      <c r="AC5" s="242"/>
      <c r="AD5" s="64"/>
      <c r="AE5" s="64"/>
      <c r="AF5" s="64"/>
      <c r="AG5" s="84"/>
      <c r="AH5" s="163">
        <f>-(SUMIF(C5:AG5,"=年",C6:AG6))</f>
        <v>12</v>
      </c>
      <c r="AI5" s="165">
        <f>-(SUMIF(C5:AG5,"=调",C6:AG6))</f>
        <v>0</v>
      </c>
      <c r="AJ5" s="165">
        <f>-(SUMIF(C5:AG5,"=病",C6:AG6))</f>
        <v>0</v>
      </c>
      <c r="AK5" s="165">
        <f>-(SUMIF(C5:AG5,"=事",C6:AG6))</f>
        <v>0</v>
      </c>
      <c r="AL5" s="70">
        <f>SUMIF(C4:AG4,"P",C5:AG6)</f>
        <v>0</v>
      </c>
      <c r="AM5" s="67">
        <f>SUMIF(C4:AG4,"S",C5:AG6)</f>
        <v>0</v>
      </c>
      <c r="AN5" s="77">
        <f>SUMIF(C4:AG4,"G",C5:AG6)</f>
        <v>0</v>
      </c>
      <c r="AO5" s="167">
        <f>AH5+'2026-03'!AO5</f>
        <v>20</v>
      </c>
      <c r="AP5" s="169"/>
    </row>
    <row r="6" spans="1:42" s="1" customFormat="1" ht="15.95" customHeight="1">
      <c r="A6" s="175"/>
      <c r="B6" s="177"/>
      <c r="C6" s="8">
        <v>-4</v>
      </c>
      <c r="D6" s="204"/>
      <c r="E6" s="204"/>
      <c r="F6" s="229"/>
      <c r="G6" s="40"/>
      <c r="H6" s="105"/>
      <c r="I6" s="16"/>
      <c r="J6" s="16"/>
      <c r="K6" s="16"/>
      <c r="L6" s="204"/>
      <c r="M6" s="229"/>
      <c r="N6" s="225"/>
      <c r="O6" s="198"/>
      <c r="P6" s="16"/>
      <c r="Q6" s="16"/>
      <c r="R6" s="16">
        <v>-8</v>
      </c>
      <c r="S6" s="15"/>
      <c r="T6" s="229"/>
      <c r="U6" s="87"/>
      <c r="V6" s="16"/>
      <c r="W6" s="16"/>
      <c r="X6" s="16"/>
      <c r="Y6" s="204"/>
      <c r="Z6" s="204"/>
      <c r="AA6" s="87"/>
      <c r="AB6" s="229"/>
      <c r="AC6" s="204"/>
      <c r="AD6" s="16"/>
      <c r="AE6" s="16"/>
      <c r="AF6" s="16"/>
      <c r="AG6" s="85"/>
      <c r="AH6" s="164"/>
      <c r="AI6" s="166"/>
      <c r="AJ6" s="166"/>
      <c r="AK6" s="166"/>
      <c r="AL6" s="171" t="str">
        <f>IF(SUM(C5:AG5)-AI5=0,"√",SUM(C5:AG5)-AI5)</f>
        <v>√</v>
      </c>
      <c r="AM6" s="172"/>
      <c r="AN6" s="173"/>
      <c r="AO6" s="168"/>
      <c r="AP6" s="170"/>
    </row>
    <row r="7" spans="1:42" s="1" customFormat="1" ht="15.95" customHeight="1">
      <c r="A7" s="185">
        <v>2</v>
      </c>
      <c r="B7" s="186" t="s">
        <v>3</v>
      </c>
      <c r="C7" s="12"/>
      <c r="D7" s="197"/>
      <c r="E7" s="197"/>
      <c r="F7" s="86"/>
      <c r="G7" s="42"/>
      <c r="H7" s="86"/>
      <c r="I7" s="197"/>
      <c r="J7" s="197"/>
      <c r="K7" s="197"/>
      <c r="L7" s="197"/>
      <c r="M7" s="224"/>
      <c r="N7" s="86"/>
      <c r="O7" s="11" t="s">
        <v>22</v>
      </c>
      <c r="P7" s="197"/>
      <c r="Q7" s="197"/>
      <c r="R7" s="197"/>
      <c r="S7" s="197"/>
      <c r="T7" s="224"/>
      <c r="U7" s="85"/>
      <c r="V7" s="197"/>
      <c r="W7" s="197"/>
      <c r="X7" s="11" t="s">
        <v>22</v>
      </c>
      <c r="Y7" s="14"/>
      <c r="Z7" s="11"/>
      <c r="AA7" s="85"/>
      <c r="AB7" s="86"/>
      <c r="AC7" s="11"/>
      <c r="AD7" s="11"/>
      <c r="AE7" s="11"/>
      <c r="AF7" s="11"/>
      <c r="AG7" s="224"/>
      <c r="AH7" s="189">
        <f>-(SUMIF(C7:AG7,"=年",C8:AG8))</f>
        <v>0</v>
      </c>
      <c r="AI7" s="193">
        <f>-(SUMIF(C7:AG7,"=调",C8:AG8))</f>
        <v>6</v>
      </c>
      <c r="AJ7" s="193">
        <f>-(SUMIF(C7:AG7,"=病",C8:AG8))</f>
        <v>0</v>
      </c>
      <c r="AK7" s="193">
        <f>-(SUMIF(C7:AG7,"=事",C8:AG8))</f>
        <v>0</v>
      </c>
      <c r="AL7" s="71">
        <f>SUMIF(C4:AG4,"P",C7:AG8)</f>
        <v>0</v>
      </c>
      <c r="AM7" s="57">
        <f>SUMIF(C4:AG4,"S",C7:AG8)</f>
        <v>0</v>
      </c>
      <c r="AN7" s="78">
        <f>SUMIF(C4:AG4,"G",C7:AG8)</f>
        <v>0</v>
      </c>
      <c r="AO7" s="167">
        <f>AH7+'2026-03'!AO7</f>
        <v>36</v>
      </c>
      <c r="AP7" s="217"/>
    </row>
    <row r="8" spans="1:42" s="1" customFormat="1" ht="15.95" customHeight="1">
      <c r="A8" s="185"/>
      <c r="B8" s="186"/>
      <c r="C8" s="10"/>
      <c r="D8" s="198"/>
      <c r="E8" s="198"/>
      <c r="F8" s="87"/>
      <c r="G8" s="41"/>
      <c r="H8" s="87"/>
      <c r="I8" s="198"/>
      <c r="J8" s="198"/>
      <c r="K8" s="198"/>
      <c r="L8" s="198"/>
      <c r="M8" s="225"/>
      <c r="N8" s="87"/>
      <c r="O8" s="15">
        <v>-2</v>
      </c>
      <c r="P8" s="198"/>
      <c r="Q8" s="198"/>
      <c r="R8" s="198"/>
      <c r="S8" s="198"/>
      <c r="T8" s="225"/>
      <c r="U8" s="87"/>
      <c r="V8" s="198"/>
      <c r="W8" s="198"/>
      <c r="X8" s="15">
        <v>-4</v>
      </c>
      <c r="Y8" s="38"/>
      <c r="Z8" s="15"/>
      <c r="AA8" s="87"/>
      <c r="AB8" s="87"/>
      <c r="AC8" s="15"/>
      <c r="AD8" s="15"/>
      <c r="AE8" s="16"/>
      <c r="AF8" s="15"/>
      <c r="AG8" s="225"/>
      <c r="AH8" s="180"/>
      <c r="AI8" s="194"/>
      <c r="AJ8" s="194"/>
      <c r="AK8" s="194"/>
      <c r="AL8" s="190">
        <f>IF(SUM(C7:AG7)-AI7=0,"√",SUM(C7:AG7)-AI7)</f>
        <v>-6</v>
      </c>
      <c r="AM8" s="191"/>
      <c r="AN8" s="192"/>
      <c r="AO8" s="168"/>
      <c r="AP8" s="196"/>
    </row>
    <row r="9" spans="1:42" s="1" customFormat="1" ht="15.95" customHeight="1">
      <c r="A9" s="182">
        <v>3</v>
      </c>
      <c r="B9" s="183" t="s">
        <v>4</v>
      </c>
      <c r="C9" s="9"/>
      <c r="D9" s="197">
        <v>3</v>
      </c>
      <c r="E9" s="197"/>
      <c r="F9" s="85"/>
      <c r="G9" s="40"/>
      <c r="H9" s="224"/>
      <c r="I9" s="197"/>
      <c r="J9" s="16"/>
      <c r="K9" s="16"/>
      <c r="L9" s="204"/>
      <c r="M9" s="85"/>
      <c r="N9" s="85"/>
      <c r="O9" s="16"/>
      <c r="P9" s="197"/>
      <c r="Q9" s="16"/>
      <c r="R9" s="16"/>
      <c r="S9" s="204"/>
      <c r="T9" s="224"/>
      <c r="U9" s="224"/>
      <c r="V9" s="16"/>
      <c r="W9" s="16"/>
      <c r="X9" s="16" t="s">
        <v>21</v>
      </c>
      <c r="Y9" s="16" t="s">
        <v>21</v>
      </c>
      <c r="Z9" s="16" t="s">
        <v>21</v>
      </c>
      <c r="AA9" s="85"/>
      <c r="AB9" s="229"/>
      <c r="AC9" s="16"/>
      <c r="AD9" s="16"/>
      <c r="AE9" s="197"/>
      <c r="AF9" s="204"/>
      <c r="AG9" s="229"/>
      <c r="AH9" s="164">
        <f>-(SUMIF(C9:AG9,"=年",C10:AG10))</f>
        <v>24</v>
      </c>
      <c r="AI9" s="166">
        <f>-(SUMIF(C9:AG9,"=调",C10:AG10))</f>
        <v>0</v>
      </c>
      <c r="AJ9" s="166">
        <f>-(SUMIF(C9:AG9,"=病",C10:AG10))</f>
        <v>0</v>
      </c>
      <c r="AK9" s="166">
        <f>-(SUMIF(C9:AG9,"=事",C10:AG10))</f>
        <v>0</v>
      </c>
      <c r="AL9" s="72">
        <f>SUMIF(C4:AG4,"P",C9:AG10)</f>
        <v>3</v>
      </c>
      <c r="AM9" s="68">
        <f>SUMIF(C4:AG4,"S",C9:AG10)</f>
        <v>0</v>
      </c>
      <c r="AN9" s="79">
        <f>SUMIF(C4:AG4,"G",C9:AG10)</f>
        <v>0</v>
      </c>
      <c r="AO9" s="167">
        <f>AH9+'2026-03'!AO9</f>
        <v>30</v>
      </c>
      <c r="AP9" s="170"/>
    </row>
    <row r="10" spans="1:42" s="1" customFormat="1" ht="15.95" customHeight="1">
      <c r="A10" s="175"/>
      <c r="B10" s="177"/>
      <c r="C10" s="9"/>
      <c r="D10" s="198"/>
      <c r="E10" s="198"/>
      <c r="F10" s="85"/>
      <c r="G10" s="40"/>
      <c r="H10" s="225"/>
      <c r="I10" s="198"/>
      <c r="J10" s="16"/>
      <c r="K10" s="16"/>
      <c r="L10" s="204"/>
      <c r="M10" s="85"/>
      <c r="N10" s="85"/>
      <c r="O10" s="16"/>
      <c r="P10" s="198"/>
      <c r="Q10" s="16"/>
      <c r="R10" s="16"/>
      <c r="S10" s="204"/>
      <c r="T10" s="225"/>
      <c r="U10" s="225"/>
      <c r="V10" s="16"/>
      <c r="W10" s="16"/>
      <c r="X10" s="16">
        <v>-8</v>
      </c>
      <c r="Y10" s="16">
        <v>-8</v>
      </c>
      <c r="Z10" s="16">
        <v>-8</v>
      </c>
      <c r="AA10" s="85"/>
      <c r="AB10" s="229"/>
      <c r="AC10" s="16"/>
      <c r="AD10" s="16"/>
      <c r="AE10" s="198"/>
      <c r="AF10" s="204"/>
      <c r="AG10" s="229"/>
      <c r="AH10" s="164"/>
      <c r="AI10" s="166"/>
      <c r="AJ10" s="166"/>
      <c r="AK10" s="166"/>
      <c r="AL10" s="190">
        <f>IF(SUM(C9:AG9)-AI9=0,"√",SUM(C9:AG9)-AI9)</f>
        <v>3</v>
      </c>
      <c r="AM10" s="191"/>
      <c r="AN10" s="192"/>
      <c r="AO10" s="168"/>
      <c r="AP10" s="170"/>
    </row>
    <row r="11" spans="1:42" s="1" customFormat="1" ht="15.95" customHeight="1">
      <c r="A11" s="185">
        <v>4</v>
      </c>
      <c r="B11" s="186" t="s">
        <v>5</v>
      </c>
      <c r="C11" s="197"/>
      <c r="D11" s="197"/>
      <c r="E11" s="197"/>
      <c r="F11" s="224">
        <v>8.5</v>
      </c>
      <c r="G11" s="270"/>
      <c r="H11" s="224">
        <v>8.5</v>
      </c>
      <c r="I11" s="197"/>
      <c r="J11" s="197">
        <v>3</v>
      </c>
      <c r="K11" s="197"/>
      <c r="L11" s="197">
        <v>3</v>
      </c>
      <c r="M11" s="224">
        <v>8.5</v>
      </c>
      <c r="N11" s="224">
        <v>8.5</v>
      </c>
      <c r="O11" s="197"/>
      <c r="P11" s="197"/>
      <c r="Q11" s="197"/>
      <c r="R11" s="197"/>
      <c r="S11" s="233"/>
      <c r="T11" s="224">
        <v>8.5</v>
      </c>
      <c r="U11" s="224">
        <v>8.5</v>
      </c>
      <c r="V11" s="11" t="s">
        <v>22</v>
      </c>
      <c r="W11" s="197"/>
      <c r="X11" s="197"/>
      <c r="Y11" s="197"/>
      <c r="Z11" s="233">
        <v>3</v>
      </c>
      <c r="AA11" s="224">
        <v>8.5</v>
      </c>
      <c r="AB11" s="224">
        <v>8.5</v>
      </c>
      <c r="AC11" s="197"/>
      <c r="AD11" s="197"/>
      <c r="AE11" s="197"/>
      <c r="AF11" s="197"/>
      <c r="AG11" s="224"/>
      <c r="AH11" s="189">
        <f>-(SUMIF(C11:AG11,"=年",C12:AG12))</f>
        <v>0</v>
      </c>
      <c r="AI11" s="193">
        <f>-(SUMIF(C11:AG11,"=调",C12:AG12))</f>
        <v>2.5</v>
      </c>
      <c r="AJ11" s="193">
        <f>-(SUMIF(C11:AG11,"=病",C12:AG12))</f>
        <v>0</v>
      </c>
      <c r="AK11" s="193">
        <f>-(SUMIF(C11:AG11,"=事",C12:AG12))</f>
        <v>0</v>
      </c>
      <c r="AL11" s="71">
        <f>SUMIF(C4:AG4,"P",C11:AG12)</f>
        <v>9</v>
      </c>
      <c r="AM11" s="46">
        <f>SUMIF(C4:AG4,"S",C11:AG12)</f>
        <v>68</v>
      </c>
      <c r="AN11" s="78">
        <f>SUMIF(C4:AG4,"G",C11:AG12)</f>
        <v>0</v>
      </c>
      <c r="AO11" s="167">
        <f>AH11+'2026-03'!AO11</f>
        <v>0</v>
      </c>
      <c r="AP11" s="202"/>
    </row>
    <row r="12" spans="1:42" s="1" customFormat="1" ht="15.95" customHeight="1">
      <c r="A12" s="185"/>
      <c r="B12" s="186"/>
      <c r="C12" s="198"/>
      <c r="D12" s="198"/>
      <c r="E12" s="198"/>
      <c r="F12" s="225"/>
      <c r="G12" s="270"/>
      <c r="H12" s="225"/>
      <c r="I12" s="198"/>
      <c r="J12" s="198"/>
      <c r="K12" s="198"/>
      <c r="L12" s="198"/>
      <c r="M12" s="225"/>
      <c r="N12" s="225"/>
      <c r="O12" s="198"/>
      <c r="P12" s="198"/>
      <c r="Q12" s="198"/>
      <c r="R12" s="198"/>
      <c r="S12" s="233"/>
      <c r="T12" s="225"/>
      <c r="U12" s="225"/>
      <c r="V12" s="15">
        <v>-2.5</v>
      </c>
      <c r="W12" s="198"/>
      <c r="X12" s="198"/>
      <c r="Y12" s="198"/>
      <c r="Z12" s="233"/>
      <c r="AA12" s="225"/>
      <c r="AB12" s="225"/>
      <c r="AC12" s="198"/>
      <c r="AD12" s="198"/>
      <c r="AE12" s="198"/>
      <c r="AF12" s="198"/>
      <c r="AG12" s="225"/>
      <c r="AH12" s="180"/>
      <c r="AI12" s="194"/>
      <c r="AJ12" s="194"/>
      <c r="AK12" s="194"/>
      <c r="AL12" s="190">
        <f>IF(SUM(C11:AG11)-AI11=0,"√",SUM(C11:AG11)-AI11)</f>
        <v>74.5</v>
      </c>
      <c r="AM12" s="191"/>
      <c r="AN12" s="200"/>
      <c r="AO12" s="168"/>
      <c r="AP12" s="203"/>
    </row>
    <row r="13" spans="1:42" s="1" customFormat="1" ht="15.95" customHeight="1">
      <c r="A13" s="182">
        <v>5</v>
      </c>
      <c r="B13" s="183" t="s">
        <v>6</v>
      </c>
      <c r="C13" s="11" t="s">
        <v>22</v>
      </c>
      <c r="D13" s="11"/>
      <c r="E13" s="197"/>
      <c r="F13" s="224">
        <v>8.5</v>
      </c>
      <c r="G13" s="270"/>
      <c r="H13" s="224">
        <v>8.5</v>
      </c>
      <c r="I13" s="197"/>
      <c r="J13" s="197">
        <v>3</v>
      </c>
      <c r="K13" s="11"/>
      <c r="L13" s="204"/>
      <c r="M13" s="224">
        <v>8.5</v>
      </c>
      <c r="N13" s="224">
        <v>8.5</v>
      </c>
      <c r="O13" s="197"/>
      <c r="P13" s="11" t="s">
        <v>22</v>
      </c>
      <c r="Q13" s="197"/>
      <c r="R13" s="204"/>
      <c r="S13" s="233"/>
      <c r="T13" s="224">
        <v>8.5</v>
      </c>
      <c r="U13" s="224">
        <v>8.5</v>
      </c>
      <c r="V13" s="11"/>
      <c r="W13" s="197"/>
      <c r="X13" s="197"/>
      <c r="Y13" s="197"/>
      <c r="Z13" s="233">
        <v>3</v>
      </c>
      <c r="AA13" s="224">
        <v>8.5</v>
      </c>
      <c r="AB13" s="224">
        <v>8.5</v>
      </c>
      <c r="AC13" s="197"/>
      <c r="AD13" s="197"/>
      <c r="AE13" s="197"/>
      <c r="AF13" s="204"/>
      <c r="AG13" s="229"/>
      <c r="AH13" s="164">
        <f>-(SUMIF(C13:AG13,"=年",C14:AG14))</f>
        <v>0</v>
      </c>
      <c r="AI13" s="166">
        <f>-(SUMIF(C13:AG13,"=调",C14:AG14))</f>
        <v>11</v>
      </c>
      <c r="AJ13" s="166">
        <f>-(SUMIF(C13:AG13,"=病",C14:AG14))</f>
        <v>0</v>
      </c>
      <c r="AK13" s="166">
        <f>-(SUMIF(C13:AG13,"=事",C14:AG14))</f>
        <v>0</v>
      </c>
      <c r="AL13" s="72">
        <f>SUMIF(C4:AG4,"P",C13:AG14)</f>
        <v>6</v>
      </c>
      <c r="AM13" s="68">
        <f>SUMIF(C4:AG4,"S",C13:AG14)</f>
        <v>68</v>
      </c>
      <c r="AN13" s="79">
        <f>SUMIF(C4:AG4,"G",C13:AG14)</f>
        <v>0</v>
      </c>
      <c r="AO13" s="167">
        <f>AH13+'2026-03'!AO13</f>
        <v>18</v>
      </c>
      <c r="AP13" s="240"/>
    </row>
    <row r="14" spans="1:42" s="1" customFormat="1" ht="15.95" customHeight="1">
      <c r="A14" s="175"/>
      <c r="B14" s="177"/>
      <c r="C14" s="15">
        <v>-3</v>
      </c>
      <c r="D14" s="15"/>
      <c r="E14" s="198"/>
      <c r="F14" s="225"/>
      <c r="G14" s="236"/>
      <c r="H14" s="225"/>
      <c r="I14" s="198"/>
      <c r="J14" s="198"/>
      <c r="K14" s="15"/>
      <c r="L14" s="204"/>
      <c r="M14" s="225"/>
      <c r="N14" s="225"/>
      <c r="O14" s="198"/>
      <c r="P14" s="15">
        <v>-8</v>
      </c>
      <c r="Q14" s="198"/>
      <c r="R14" s="204"/>
      <c r="S14" s="233"/>
      <c r="T14" s="225"/>
      <c r="U14" s="225"/>
      <c r="V14" s="15"/>
      <c r="W14" s="198"/>
      <c r="X14" s="198"/>
      <c r="Y14" s="198"/>
      <c r="Z14" s="233"/>
      <c r="AA14" s="225"/>
      <c r="AB14" s="225"/>
      <c r="AC14" s="198"/>
      <c r="AD14" s="198"/>
      <c r="AE14" s="198"/>
      <c r="AF14" s="204"/>
      <c r="AG14" s="229"/>
      <c r="AH14" s="164"/>
      <c r="AI14" s="166"/>
      <c r="AJ14" s="166"/>
      <c r="AK14" s="166"/>
      <c r="AL14" s="171">
        <f>IF(SUM(C13:AG13)-AI13=0,"√",SUM(C13:AG13)-AI13)</f>
        <v>63</v>
      </c>
      <c r="AM14" s="172"/>
      <c r="AN14" s="173"/>
      <c r="AO14" s="168"/>
      <c r="AP14" s="240"/>
    </row>
    <row r="15" spans="1:42" s="1" customFormat="1" ht="15.95" customHeight="1">
      <c r="A15" s="185">
        <v>6</v>
      </c>
      <c r="B15" s="186" t="s">
        <v>7</v>
      </c>
      <c r="C15" s="197">
        <v>3</v>
      </c>
      <c r="D15" s="197"/>
      <c r="E15" s="197"/>
      <c r="F15" s="224">
        <v>8.5</v>
      </c>
      <c r="G15" s="42"/>
      <c r="H15" s="224">
        <v>8.5</v>
      </c>
      <c r="I15" s="197"/>
      <c r="J15" s="197"/>
      <c r="K15" s="197">
        <v>3</v>
      </c>
      <c r="L15" s="233"/>
      <c r="M15" s="224">
        <v>8.5</v>
      </c>
      <c r="N15" s="224">
        <v>8.5</v>
      </c>
      <c r="O15" s="197"/>
      <c r="P15" s="197"/>
      <c r="Q15" s="197"/>
      <c r="R15" s="197">
        <v>3</v>
      </c>
      <c r="S15" s="233"/>
      <c r="T15" s="224">
        <v>8.5</v>
      </c>
      <c r="U15" s="224">
        <v>8.5</v>
      </c>
      <c r="V15" s="197"/>
      <c r="W15" s="197"/>
      <c r="X15" s="197"/>
      <c r="Y15" s="197"/>
      <c r="Z15" s="233">
        <v>3</v>
      </c>
      <c r="AA15" s="224">
        <v>11.5</v>
      </c>
      <c r="AB15" s="224">
        <v>8.5</v>
      </c>
      <c r="AC15" s="197"/>
      <c r="AD15" s="197"/>
      <c r="AE15" s="16"/>
      <c r="AF15" s="197"/>
      <c r="AG15" s="224"/>
      <c r="AH15" s="189">
        <f>-(SUMIF(C15:AG15,"=年",C16:AG16))</f>
        <v>0</v>
      </c>
      <c r="AI15" s="193">
        <f>-(SUMIF(C15:AG15,"=调",C16:AG16))</f>
        <v>0</v>
      </c>
      <c r="AJ15" s="193">
        <f>-(SUMIF(C15:AG15,"=病",C16:AG16))</f>
        <v>0</v>
      </c>
      <c r="AK15" s="193">
        <f>-(SUMIF(C15:AG15,"=事",C16:AG16))</f>
        <v>0</v>
      </c>
      <c r="AL15" s="71">
        <f>SUMIF(C4:AG4,"P",C15:AG16)</f>
        <v>12</v>
      </c>
      <c r="AM15" s="46">
        <f>SUMIF(C4:AG4,"S",C15:AG16)</f>
        <v>71</v>
      </c>
      <c r="AN15" s="78">
        <f>SUMIF(C4:AG4,"G",C15:AG16)</f>
        <v>0</v>
      </c>
      <c r="AO15" s="167">
        <f>AH15+'2026-03'!AO15</f>
        <v>8</v>
      </c>
      <c r="AP15" s="195"/>
    </row>
    <row r="16" spans="1:42" s="1" customFormat="1" ht="15.95" customHeight="1">
      <c r="A16" s="185"/>
      <c r="B16" s="186"/>
      <c r="C16" s="198"/>
      <c r="D16" s="198"/>
      <c r="E16" s="198"/>
      <c r="F16" s="225"/>
      <c r="G16" s="41"/>
      <c r="H16" s="225"/>
      <c r="I16" s="198"/>
      <c r="J16" s="198"/>
      <c r="K16" s="198"/>
      <c r="L16" s="233"/>
      <c r="M16" s="225"/>
      <c r="N16" s="225"/>
      <c r="O16" s="198"/>
      <c r="P16" s="198"/>
      <c r="Q16" s="198"/>
      <c r="R16" s="198"/>
      <c r="S16" s="233"/>
      <c r="T16" s="225"/>
      <c r="U16" s="225"/>
      <c r="V16" s="198"/>
      <c r="W16" s="198"/>
      <c r="X16" s="198"/>
      <c r="Y16" s="198"/>
      <c r="Z16" s="233"/>
      <c r="AA16" s="225"/>
      <c r="AB16" s="225"/>
      <c r="AC16" s="198"/>
      <c r="AD16" s="198"/>
      <c r="AE16" s="15"/>
      <c r="AF16" s="198"/>
      <c r="AG16" s="225"/>
      <c r="AH16" s="180"/>
      <c r="AI16" s="194"/>
      <c r="AJ16" s="194"/>
      <c r="AK16" s="194"/>
      <c r="AL16" s="190">
        <f>IF(SUM(C15:AG15)-AI15=0,"√",SUM(C15:AG15)-AI15)</f>
        <v>83</v>
      </c>
      <c r="AM16" s="191"/>
      <c r="AN16" s="200"/>
      <c r="AO16" s="168"/>
      <c r="AP16" s="239"/>
    </row>
    <row r="17" spans="1:42" s="1" customFormat="1" ht="15.95" customHeight="1">
      <c r="A17" s="182">
        <v>7</v>
      </c>
      <c r="B17" s="183" t="s">
        <v>8</v>
      </c>
      <c r="C17" s="9"/>
      <c r="D17" s="204"/>
      <c r="E17" s="204"/>
      <c r="F17" s="228"/>
      <c r="G17" s="238"/>
      <c r="H17" s="224"/>
      <c r="I17" s="197"/>
      <c r="J17" s="197"/>
      <c r="K17" s="16"/>
      <c r="L17" s="16"/>
      <c r="M17" s="85"/>
      <c r="N17" s="85"/>
      <c r="O17" s="16"/>
      <c r="P17" s="16"/>
      <c r="Q17" s="16"/>
      <c r="R17" s="204"/>
      <c r="S17" s="16"/>
      <c r="T17" s="224"/>
      <c r="U17" s="224"/>
      <c r="V17" s="204"/>
      <c r="W17" s="204"/>
      <c r="X17" s="204"/>
      <c r="Y17" s="204"/>
      <c r="Z17" s="204"/>
      <c r="AA17" s="85"/>
      <c r="AB17" s="85"/>
      <c r="AC17" s="16"/>
      <c r="AD17" s="16"/>
      <c r="AE17" s="204"/>
      <c r="AF17" s="16" t="s">
        <v>21</v>
      </c>
      <c r="AG17" s="85"/>
      <c r="AH17" s="164">
        <f>-(SUMIF(C17:AG17,"=年",C18:AG18))</f>
        <v>4</v>
      </c>
      <c r="AI17" s="166">
        <f>-(SUMIF(C17:AG17,"=调",C18:AG18))</f>
        <v>0</v>
      </c>
      <c r="AJ17" s="166">
        <f>-(SUMIF(C17:AG17,"=病",C18:AG18))</f>
        <v>0</v>
      </c>
      <c r="AK17" s="166">
        <f>-(SUMIF(C17:AG17,"=事",C18:AG18))</f>
        <v>0</v>
      </c>
      <c r="AL17" s="72">
        <f>SUMIF(C4:AG4,"P",C17:AG18)</f>
        <v>0</v>
      </c>
      <c r="AM17" s="68">
        <f>SUMIF(C4:AG4,"S",C17:AG18)</f>
        <v>0</v>
      </c>
      <c r="AN17" s="79">
        <f>SUMIF(C4:AG4,"G",C17:AG18)</f>
        <v>0</v>
      </c>
      <c r="AO17" s="167">
        <f>AH17+'2026-03'!AO17</f>
        <v>13</v>
      </c>
      <c r="AP17" s="170"/>
    </row>
    <row r="18" spans="1:42" s="1" customFormat="1" ht="15.95" customHeight="1">
      <c r="A18" s="175"/>
      <c r="B18" s="177"/>
      <c r="C18" s="9"/>
      <c r="D18" s="204"/>
      <c r="E18" s="204"/>
      <c r="F18" s="228"/>
      <c r="G18" s="237"/>
      <c r="H18" s="225"/>
      <c r="I18" s="198"/>
      <c r="J18" s="198"/>
      <c r="K18" s="16"/>
      <c r="L18" s="16"/>
      <c r="M18" s="85"/>
      <c r="N18" s="85"/>
      <c r="O18" s="16"/>
      <c r="P18" s="16"/>
      <c r="Q18" s="16"/>
      <c r="R18" s="204"/>
      <c r="S18" s="16"/>
      <c r="T18" s="225"/>
      <c r="U18" s="225"/>
      <c r="V18" s="204"/>
      <c r="W18" s="204"/>
      <c r="X18" s="204"/>
      <c r="Y18" s="204"/>
      <c r="Z18" s="204"/>
      <c r="AA18" s="85"/>
      <c r="AB18" s="85"/>
      <c r="AC18" s="16"/>
      <c r="AD18" s="16"/>
      <c r="AE18" s="204"/>
      <c r="AF18" s="16">
        <v>-4</v>
      </c>
      <c r="AG18" s="85"/>
      <c r="AH18" s="164"/>
      <c r="AI18" s="166"/>
      <c r="AJ18" s="166"/>
      <c r="AK18" s="166"/>
      <c r="AL18" s="171" t="str">
        <f>IF(SUM(C17:AG17)-AI17=0,"√",SUM(C17:AG17)-AI17)</f>
        <v>√</v>
      </c>
      <c r="AM18" s="172"/>
      <c r="AN18" s="173"/>
      <c r="AO18" s="168"/>
      <c r="AP18" s="170"/>
    </row>
    <row r="19" spans="1:42" s="1" customFormat="1" ht="15.95" customHeight="1">
      <c r="A19" s="185">
        <v>8</v>
      </c>
      <c r="B19" s="186" t="s">
        <v>9</v>
      </c>
      <c r="C19" s="197"/>
      <c r="D19" s="11"/>
      <c r="E19" s="197"/>
      <c r="F19" s="224">
        <v>8.5</v>
      </c>
      <c r="G19" s="270"/>
      <c r="H19" s="224">
        <v>8.5</v>
      </c>
      <c r="I19" s="197"/>
      <c r="J19" s="197"/>
      <c r="K19" s="197">
        <v>3</v>
      </c>
      <c r="L19" s="197"/>
      <c r="M19" s="224">
        <v>8.5</v>
      </c>
      <c r="N19" s="224">
        <v>8.5</v>
      </c>
      <c r="O19" s="197"/>
      <c r="P19" s="197"/>
      <c r="Q19" s="197"/>
      <c r="R19" s="11"/>
      <c r="S19" s="233"/>
      <c r="T19" s="224">
        <v>8.5</v>
      </c>
      <c r="U19" s="228"/>
      <c r="V19" s="197"/>
      <c r="W19" s="197"/>
      <c r="X19" s="197"/>
      <c r="Y19" s="197">
        <v>3</v>
      </c>
      <c r="Z19" s="197"/>
      <c r="AA19" s="224">
        <v>8.5</v>
      </c>
      <c r="AB19" s="224">
        <v>8.5</v>
      </c>
      <c r="AC19" s="197"/>
      <c r="AD19" s="197"/>
      <c r="AE19" s="11"/>
      <c r="AF19" s="197"/>
      <c r="AG19" s="224"/>
      <c r="AH19" s="189">
        <f>-(SUMIF(C19:AG19,"=年",C20:AG20))</f>
        <v>0</v>
      </c>
      <c r="AI19" s="193">
        <f>-(SUMIF(C19:AG19,"=调",C20:AG20))</f>
        <v>0</v>
      </c>
      <c r="AJ19" s="193">
        <f>-(SUMIF(C19:AG19,"=病",C20:AG20))</f>
        <v>0</v>
      </c>
      <c r="AK19" s="193">
        <f>-(SUMIF(C19:AG19,"=事",C20:AG20))</f>
        <v>0</v>
      </c>
      <c r="AL19" s="71">
        <f>SUMIF(C4:AG4,"P",C19:AG20)</f>
        <v>6</v>
      </c>
      <c r="AM19" s="46">
        <f>SUMIF(C4:AG4,"S",C19:AG20)</f>
        <v>59.5</v>
      </c>
      <c r="AN19" s="78">
        <f>SUMIF(C4:AG4,"G",C19:AG20)</f>
        <v>0</v>
      </c>
      <c r="AO19" s="167">
        <f>AH19+'2026-03'!AO19</f>
        <v>0</v>
      </c>
      <c r="AP19" s="205"/>
    </row>
    <row r="20" spans="1:42" s="1" customFormat="1" ht="15.95" customHeight="1">
      <c r="A20" s="185"/>
      <c r="B20" s="186"/>
      <c r="C20" s="198"/>
      <c r="D20" s="15"/>
      <c r="E20" s="198"/>
      <c r="F20" s="225"/>
      <c r="G20" s="270"/>
      <c r="H20" s="225"/>
      <c r="I20" s="198"/>
      <c r="J20" s="198"/>
      <c r="K20" s="198"/>
      <c r="L20" s="198"/>
      <c r="M20" s="225"/>
      <c r="N20" s="225"/>
      <c r="O20" s="198"/>
      <c r="P20" s="198"/>
      <c r="Q20" s="198"/>
      <c r="R20" s="15"/>
      <c r="S20" s="233"/>
      <c r="T20" s="225"/>
      <c r="U20" s="228"/>
      <c r="V20" s="198"/>
      <c r="W20" s="198"/>
      <c r="X20" s="198"/>
      <c r="Y20" s="198"/>
      <c r="Z20" s="198"/>
      <c r="AA20" s="225"/>
      <c r="AB20" s="225"/>
      <c r="AC20" s="198"/>
      <c r="AD20" s="198"/>
      <c r="AE20" s="16"/>
      <c r="AF20" s="198"/>
      <c r="AG20" s="225"/>
      <c r="AH20" s="180"/>
      <c r="AI20" s="194"/>
      <c r="AJ20" s="194"/>
      <c r="AK20" s="194"/>
      <c r="AL20" s="190">
        <f>IF(SUM(C19:AG19)-AI19=0,"√",SUM(C19:AG19)-AI19)</f>
        <v>65.5</v>
      </c>
      <c r="AM20" s="191"/>
      <c r="AN20" s="200"/>
      <c r="AO20" s="168"/>
      <c r="AP20" s="206"/>
    </row>
    <row r="21" spans="1:42" s="1" customFormat="1" ht="15.95" customHeight="1">
      <c r="A21" s="182">
        <v>9</v>
      </c>
      <c r="B21" s="183" t="s">
        <v>11</v>
      </c>
      <c r="C21" s="197"/>
      <c r="D21" s="197">
        <v>3</v>
      </c>
      <c r="E21" s="197"/>
      <c r="F21" s="224">
        <v>8.5</v>
      </c>
      <c r="G21" s="270">
        <v>3</v>
      </c>
      <c r="H21" s="224">
        <v>8.5</v>
      </c>
      <c r="I21" s="197"/>
      <c r="J21" s="197"/>
      <c r="K21" s="204"/>
      <c r="L21" s="263">
        <v>3</v>
      </c>
      <c r="M21" s="224">
        <v>8.5</v>
      </c>
      <c r="N21" s="224">
        <v>8.5</v>
      </c>
      <c r="O21" s="234"/>
      <c r="P21" s="197"/>
      <c r="Q21" s="197"/>
      <c r="R21" s="204"/>
      <c r="S21" s="204"/>
      <c r="T21" s="224">
        <v>8.5</v>
      </c>
      <c r="U21" s="224">
        <v>8.5</v>
      </c>
      <c r="V21" s="197"/>
      <c r="W21" s="197"/>
      <c r="X21" s="197"/>
      <c r="Y21" s="197"/>
      <c r="Z21" s="233">
        <v>3</v>
      </c>
      <c r="AA21" s="224">
        <v>8.5</v>
      </c>
      <c r="AB21" s="224">
        <v>8.5</v>
      </c>
      <c r="AC21" s="197"/>
      <c r="AD21" s="197"/>
      <c r="AE21" s="197"/>
      <c r="AF21" s="204"/>
      <c r="AG21" s="229"/>
      <c r="AH21" s="164">
        <f>-(SUMIF(C21:AG21,"=年",C22:AG22))</f>
        <v>0</v>
      </c>
      <c r="AI21" s="166">
        <f>-(SUMIF(C21:AG21,"=调",C22:AG22))</f>
        <v>0</v>
      </c>
      <c r="AJ21" s="166">
        <f>-(SUMIF(C21:AG21,"=病",C22:AG22))</f>
        <v>0</v>
      </c>
      <c r="AK21" s="166">
        <f>-(SUMIF(C21:AG21,"=事",C22:AG22))</f>
        <v>0</v>
      </c>
      <c r="AL21" s="72">
        <f>SUMIF(C4:AG4,"P",C21:AG22)</f>
        <v>9</v>
      </c>
      <c r="AM21" s="68">
        <f>SUMIF(C4:AG4,"S",C21:AG22)</f>
        <v>68</v>
      </c>
      <c r="AN21" s="79">
        <f>SUMIF(C4:AG4,"G",C21:AG22)</f>
        <v>3</v>
      </c>
      <c r="AO21" s="167">
        <f>AH21+'2026-03'!AO21</f>
        <v>2</v>
      </c>
      <c r="AP21" s="201"/>
    </row>
    <row r="22" spans="1:42" s="1" customFormat="1" ht="15.95" customHeight="1">
      <c r="A22" s="175"/>
      <c r="B22" s="177"/>
      <c r="C22" s="198"/>
      <c r="D22" s="198"/>
      <c r="E22" s="198"/>
      <c r="F22" s="225"/>
      <c r="G22" s="270"/>
      <c r="H22" s="225"/>
      <c r="I22" s="198"/>
      <c r="J22" s="198"/>
      <c r="K22" s="204"/>
      <c r="L22" s="263"/>
      <c r="M22" s="225"/>
      <c r="N22" s="225"/>
      <c r="O22" s="235"/>
      <c r="P22" s="198"/>
      <c r="Q22" s="198"/>
      <c r="R22" s="204"/>
      <c r="S22" s="204"/>
      <c r="T22" s="225"/>
      <c r="U22" s="225"/>
      <c r="V22" s="198"/>
      <c r="W22" s="198"/>
      <c r="X22" s="198"/>
      <c r="Y22" s="198"/>
      <c r="Z22" s="233"/>
      <c r="AA22" s="225"/>
      <c r="AB22" s="225"/>
      <c r="AC22" s="198"/>
      <c r="AD22" s="198"/>
      <c r="AE22" s="198"/>
      <c r="AF22" s="204"/>
      <c r="AG22" s="229"/>
      <c r="AH22" s="164"/>
      <c r="AI22" s="166"/>
      <c r="AJ22" s="166"/>
      <c r="AK22" s="166"/>
      <c r="AL22" s="171">
        <f>IF(SUM(C21:AG21)-AI21=0,"√",SUM(C21:AG21)-AI21)</f>
        <v>80</v>
      </c>
      <c r="AM22" s="172"/>
      <c r="AN22" s="173"/>
      <c r="AO22" s="168"/>
      <c r="AP22" s="201"/>
    </row>
    <row r="23" spans="1:42" s="1" customFormat="1" ht="15.95" customHeight="1">
      <c r="A23" s="185">
        <v>10</v>
      </c>
      <c r="B23" s="186" t="s">
        <v>12</v>
      </c>
      <c r="C23" s="197"/>
      <c r="D23" s="197">
        <v>3</v>
      </c>
      <c r="E23" s="197"/>
      <c r="F23" s="224">
        <v>8.5</v>
      </c>
      <c r="G23" s="270"/>
      <c r="H23" s="224">
        <v>8.5</v>
      </c>
      <c r="I23" s="197"/>
      <c r="J23" s="197"/>
      <c r="K23" s="11"/>
      <c r="L23" s="233"/>
      <c r="M23" s="224">
        <v>8.5</v>
      </c>
      <c r="N23" s="224">
        <v>8.5</v>
      </c>
      <c r="O23" s="197"/>
      <c r="P23" s="11" t="s">
        <v>21</v>
      </c>
      <c r="Q23" s="197"/>
      <c r="R23" s="197"/>
      <c r="S23" s="233"/>
      <c r="T23" s="224">
        <v>8.5</v>
      </c>
      <c r="U23" s="224">
        <v>8.5</v>
      </c>
      <c r="V23" s="197"/>
      <c r="W23" s="197"/>
      <c r="X23" s="197"/>
      <c r="Y23" s="197"/>
      <c r="Z23" s="233">
        <v>3</v>
      </c>
      <c r="AA23" s="224">
        <v>8.5</v>
      </c>
      <c r="AB23" s="224">
        <v>8.5</v>
      </c>
      <c r="AC23" s="197"/>
      <c r="AD23" s="197"/>
      <c r="AE23" s="204"/>
      <c r="AF23" s="197"/>
      <c r="AG23" s="224"/>
      <c r="AH23" s="189">
        <f>-(SUMIF(C23:AG23,"=年",C24:AG24))</f>
        <v>1.5</v>
      </c>
      <c r="AI23" s="193">
        <f>-(SUMIF(C23:AG23,"=调",C24:AG24))</f>
        <v>0</v>
      </c>
      <c r="AJ23" s="193">
        <f>-(SUMIF(C23:AG23,"=病",C24:AG24))</f>
        <v>0</v>
      </c>
      <c r="AK23" s="193">
        <f>-(SUMIF(C23:AG23,"=事",C24:AG24))</f>
        <v>0</v>
      </c>
      <c r="AL23" s="71">
        <f>SUMIF(C4:AG4,"P",C23:AG24)</f>
        <v>6</v>
      </c>
      <c r="AM23" s="46">
        <f>SUMIF(C4:AG4,"S",C23:AG24)</f>
        <v>68</v>
      </c>
      <c r="AN23" s="78">
        <f>SUMIF(C4:AG4,"G",C23:AG24)</f>
        <v>0</v>
      </c>
      <c r="AO23" s="167">
        <f>AH23+'2026-03'!AO23</f>
        <v>3</v>
      </c>
      <c r="AP23" s="217"/>
    </row>
    <row r="24" spans="1:42" s="1" customFormat="1" ht="15.95" customHeight="1">
      <c r="A24" s="185"/>
      <c r="B24" s="186"/>
      <c r="C24" s="198"/>
      <c r="D24" s="198"/>
      <c r="E24" s="198"/>
      <c r="F24" s="225"/>
      <c r="G24" s="270"/>
      <c r="H24" s="225"/>
      <c r="I24" s="198"/>
      <c r="J24" s="198"/>
      <c r="K24" s="15"/>
      <c r="L24" s="233"/>
      <c r="M24" s="225"/>
      <c r="N24" s="225"/>
      <c r="O24" s="198"/>
      <c r="P24" s="15">
        <v>-1.5</v>
      </c>
      <c r="Q24" s="198"/>
      <c r="R24" s="198"/>
      <c r="S24" s="197"/>
      <c r="T24" s="225"/>
      <c r="U24" s="225"/>
      <c r="V24" s="198"/>
      <c r="W24" s="198"/>
      <c r="X24" s="198"/>
      <c r="Y24" s="198"/>
      <c r="Z24" s="233"/>
      <c r="AA24" s="225"/>
      <c r="AB24" s="225"/>
      <c r="AC24" s="198"/>
      <c r="AD24" s="198"/>
      <c r="AE24" s="204"/>
      <c r="AF24" s="198"/>
      <c r="AG24" s="225"/>
      <c r="AH24" s="180"/>
      <c r="AI24" s="194"/>
      <c r="AJ24" s="194"/>
      <c r="AK24" s="194"/>
      <c r="AL24" s="190">
        <f>IF(SUM(C23:AG23)-AI23=0,"√",SUM(C23:AG23)-AI23)</f>
        <v>74</v>
      </c>
      <c r="AM24" s="191"/>
      <c r="AN24" s="200"/>
      <c r="AO24" s="168"/>
      <c r="AP24" s="196"/>
    </row>
    <row r="25" spans="1:42" s="1" customFormat="1" ht="15.95" customHeight="1">
      <c r="A25" s="185">
        <v>11</v>
      </c>
      <c r="B25" s="186" t="s">
        <v>14</v>
      </c>
      <c r="C25" s="197"/>
      <c r="D25" s="197">
        <v>3</v>
      </c>
      <c r="E25" s="197"/>
      <c r="F25" s="224">
        <v>8.5</v>
      </c>
      <c r="G25" s="270"/>
      <c r="H25" s="224">
        <v>8.5</v>
      </c>
      <c r="I25" s="197"/>
      <c r="J25" s="197"/>
      <c r="K25" s="234">
        <v>3</v>
      </c>
      <c r="L25" s="233"/>
      <c r="M25" s="224">
        <v>8.5</v>
      </c>
      <c r="N25" s="224">
        <v>8.5</v>
      </c>
      <c r="O25" s="197"/>
      <c r="P25" s="197"/>
      <c r="Q25" s="233"/>
      <c r="R25" s="265"/>
      <c r="S25" s="11"/>
      <c r="T25" s="224">
        <v>8.5</v>
      </c>
      <c r="U25" s="224">
        <v>8.5</v>
      </c>
      <c r="V25" s="11"/>
      <c r="W25" s="197"/>
      <c r="X25" s="197"/>
      <c r="Y25" s="197"/>
      <c r="Z25" s="233">
        <v>3</v>
      </c>
      <c r="AA25" s="224">
        <v>8.5</v>
      </c>
      <c r="AB25" s="224">
        <v>8.5</v>
      </c>
      <c r="AC25" s="197"/>
      <c r="AD25" s="197"/>
      <c r="AE25" s="197"/>
      <c r="AF25" s="197"/>
      <c r="AG25" s="85"/>
      <c r="AH25" s="189">
        <f>-(SUMIF(C25:AG25,"=年",C26:AG26))</f>
        <v>0</v>
      </c>
      <c r="AI25" s="193">
        <f>-(SUMIF(C25:AG25,"=调",C26:AG26))</f>
        <v>0</v>
      </c>
      <c r="AJ25" s="193">
        <f>-(SUMIF(C25:AG25,"=病",C26:AG26))</f>
        <v>0</v>
      </c>
      <c r="AK25" s="193">
        <f>-(SUMIF(C25:AG25,"=事",C26:AG26))</f>
        <v>0</v>
      </c>
      <c r="AL25" s="71">
        <f>SUMIF(C4:AG4,"P",C25:AG26)</f>
        <v>9</v>
      </c>
      <c r="AM25" s="46">
        <f>SUMIF(C4:AG4,"S",C25:AG26)</f>
        <v>68</v>
      </c>
      <c r="AN25" s="78">
        <f>SUMIF(C4:AG4,"G",C25:AG26)</f>
        <v>0</v>
      </c>
      <c r="AO25" s="167">
        <f>AH25+'2026-03'!AO25</f>
        <v>32</v>
      </c>
      <c r="AP25" s="217"/>
    </row>
    <row r="26" spans="1:42" s="1" customFormat="1" ht="15.95" customHeight="1">
      <c r="A26" s="185"/>
      <c r="B26" s="186"/>
      <c r="C26" s="198"/>
      <c r="D26" s="198"/>
      <c r="E26" s="198"/>
      <c r="F26" s="225"/>
      <c r="G26" s="270"/>
      <c r="H26" s="225"/>
      <c r="I26" s="198"/>
      <c r="J26" s="198"/>
      <c r="K26" s="235"/>
      <c r="L26" s="233"/>
      <c r="M26" s="225"/>
      <c r="N26" s="225"/>
      <c r="O26" s="198"/>
      <c r="P26" s="198"/>
      <c r="Q26" s="233"/>
      <c r="R26" s="266"/>
      <c r="S26" s="15"/>
      <c r="T26" s="225"/>
      <c r="U26" s="225"/>
      <c r="V26" s="15"/>
      <c r="W26" s="198"/>
      <c r="X26" s="198"/>
      <c r="Y26" s="198"/>
      <c r="Z26" s="233"/>
      <c r="AA26" s="225"/>
      <c r="AB26" s="225"/>
      <c r="AC26" s="198"/>
      <c r="AD26" s="198"/>
      <c r="AE26" s="198"/>
      <c r="AF26" s="198"/>
      <c r="AG26" s="87"/>
      <c r="AH26" s="180"/>
      <c r="AI26" s="194"/>
      <c r="AJ26" s="194"/>
      <c r="AK26" s="194"/>
      <c r="AL26" s="190">
        <f>IF(SUM(C25:AG25)-AI25=0,"√",SUM(C25:AG25)-AI25)</f>
        <v>77</v>
      </c>
      <c r="AM26" s="191"/>
      <c r="AN26" s="200"/>
      <c r="AO26" s="168"/>
      <c r="AP26" s="196"/>
    </row>
    <row r="27" spans="1:42" s="1" customFormat="1" ht="15.95" customHeight="1">
      <c r="A27" s="182">
        <v>12</v>
      </c>
      <c r="B27" s="183" t="s">
        <v>34</v>
      </c>
      <c r="C27" s="9"/>
      <c r="D27" s="204"/>
      <c r="E27" s="11"/>
      <c r="F27" s="224"/>
      <c r="G27" s="236"/>
      <c r="H27" s="85"/>
      <c r="I27" s="16"/>
      <c r="J27" s="16"/>
      <c r="K27" s="16"/>
      <c r="L27" s="197"/>
      <c r="M27" s="85"/>
      <c r="N27" s="85"/>
      <c r="O27" s="16"/>
      <c r="P27" s="197"/>
      <c r="Q27" s="204"/>
      <c r="R27" s="204"/>
      <c r="S27" s="16"/>
      <c r="T27" s="85"/>
      <c r="U27" s="85"/>
      <c r="V27" s="204"/>
      <c r="W27" s="16"/>
      <c r="X27" s="16"/>
      <c r="Y27" s="197"/>
      <c r="Z27" s="11"/>
      <c r="AA27" s="86"/>
      <c r="AB27" s="86"/>
      <c r="AC27" s="11"/>
      <c r="AD27" s="16"/>
      <c r="AE27" s="16"/>
      <c r="AF27" s="204"/>
      <c r="AG27" s="229"/>
      <c r="AH27" s="164">
        <f>-(SUMIF(C27:AG27,"=年",C28:AG28))</f>
        <v>0</v>
      </c>
      <c r="AI27" s="166">
        <f>-(SUMIF(C27:AG27,"=调",C28:AG28))</f>
        <v>0</v>
      </c>
      <c r="AJ27" s="166">
        <f>-(SUMIF(C27:AG27,"=病",C28:AG28))</f>
        <v>0</v>
      </c>
      <c r="AK27" s="166">
        <f>-(SUMIF(C27:AG27,"=事",C28:AG28))</f>
        <v>0</v>
      </c>
      <c r="AL27" s="72">
        <f>SUMIF(C4:AG4,"P",C27:AG28)</f>
        <v>0</v>
      </c>
      <c r="AM27" s="68">
        <f>SUMIF(C4:AG4,"S",C27:AG28)-AI27</f>
        <v>0</v>
      </c>
      <c r="AN27" s="79">
        <f>SUMIF(C4:AG4,"G",C27:AG28)</f>
        <v>0</v>
      </c>
      <c r="AO27" s="167">
        <f>AH27+'2026-03'!AO27</f>
        <v>43</v>
      </c>
      <c r="AP27" s="217"/>
    </row>
    <row r="28" spans="1:42" s="1" customFormat="1" ht="15.95" customHeight="1" thickBot="1">
      <c r="A28" s="231"/>
      <c r="B28" s="232"/>
      <c r="C28" s="13"/>
      <c r="D28" s="227"/>
      <c r="E28" s="39"/>
      <c r="F28" s="230"/>
      <c r="G28" s="271"/>
      <c r="H28" s="88"/>
      <c r="I28" s="39"/>
      <c r="J28" s="39"/>
      <c r="K28" s="39"/>
      <c r="L28" s="227"/>
      <c r="M28" s="88"/>
      <c r="N28" s="88"/>
      <c r="O28" s="39"/>
      <c r="P28" s="227"/>
      <c r="Q28" s="227"/>
      <c r="R28" s="227"/>
      <c r="S28" s="39"/>
      <c r="T28" s="88"/>
      <c r="U28" s="88"/>
      <c r="V28" s="227"/>
      <c r="W28" s="39"/>
      <c r="X28" s="39"/>
      <c r="Y28" s="227"/>
      <c r="Z28" s="39"/>
      <c r="AA28" s="88"/>
      <c r="AB28" s="88"/>
      <c r="AC28" s="39"/>
      <c r="AD28" s="39"/>
      <c r="AE28" s="39"/>
      <c r="AF28" s="227"/>
      <c r="AG28" s="230"/>
      <c r="AH28" s="223"/>
      <c r="AI28" s="211"/>
      <c r="AJ28" s="211"/>
      <c r="AK28" s="211"/>
      <c r="AL28" s="213" t="str">
        <f>IF(SUM(C27:AG27)-AI27=0,"√",SUM(C27:AG27)-AI27)</f>
        <v>√</v>
      </c>
      <c r="AM28" s="214"/>
      <c r="AN28" s="215"/>
      <c r="AO28" s="168"/>
      <c r="AP28" s="226"/>
    </row>
    <row r="29" spans="1:42" ht="37.15" customHeight="1">
      <c r="A29" s="216" t="s">
        <v>31</v>
      </c>
      <c r="B29" s="216"/>
      <c r="C29" s="216"/>
      <c r="D29" s="216"/>
      <c r="E29" s="216"/>
      <c r="F29" s="216"/>
      <c r="G29" s="216"/>
      <c r="H29" s="216"/>
      <c r="I29" s="216"/>
      <c r="J29" s="216"/>
      <c r="K29" s="216"/>
      <c r="L29" s="216"/>
      <c r="M29" s="216"/>
      <c r="N29" s="216"/>
      <c r="O29" s="216"/>
      <c r="P29" s="216"/>
      <c r="Q29" s="216"/>
      <c r="R29" s="216"/>
      <c r="S29" s="216"/>
      <c r="T29" s="216"/>
      <c r="U29" s="216"/>
      <c r="V29" s="216"/>
      <c r="W29" s="216"/>
      <c r="X29" s="216"/>
      <c r="Y29" s="216"/>
      <c r="Z29" s="216"/>
      <c r="AA29" s="216"/>
      <c r="AB29" s="216"/>
      <c r="AC29" s="216"/>
      <c r="AD29" s="216"/>
      <c r="AE29" s="216"/>
      <c r="AF29" s="216"/>
      <c r="AG29" s="216"/>
      <c r="AH29" s="216"/>
      <c r="AI29" s="216"/>
      <c r="AJ29" s="216"/>
      <c r="AK29" s="216"/>
      <c r="AL29" s="216"/>
      <c r="AM29" s="216"/>
      <c r="AN29" s="216"/>
      <c r="AO29" s="216"/>
      <c r="AP29" s="216"/>
    </row>
    <row r="30" spans="1:42" ht="34.9" customHeight="1">
      <c r="A30" s="3" t="s">
        <v>13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P30" s="3"/>
      <c r="Q30" s="3"/>
      <c r="R30" s="3"/>
      <c r="S30" s="3" t="s">
        <v>23</v>
      </c>
      <c r="T30" s="3"/>
      <c r="U30" s="3"/>
      <c r="V30" s="3"/>
      <c r="W30" s="3"/>
      <c r="X30" s="3"/>
      <c r="Y30" s="3"/>
      <c r="Z30" s="3"/>
      <c r="AA30" s="3"/>
      <c r="AB30" s="3"/>
      <c r="AD30" s="3"/>
      <c r="AE30" s="3"/>
      <c r="AG30" s="4"/>
      <c r="AI30" s="4"/>
      <c r="AJ30" s="3" t="s">
        <v>10</v>
      </c>
      <c r="AK30" s="4"/>
      <c r="AL30" s="4"/>
      <c r="AM30" s="4"/>
      <c r="AN30" s="4"/>
      <c r="AO30" s="4"/>
      <c r="AP30" s="4"/>
    </row>
    <row r="31" spans="1:4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</row>
  </sheetData>
  <mergeCells count="386">
    <mergeCell ref="A29:AP29"/>
    <mergeCell ref="AB19:AB20"/>
    <mergeCell ref="Y19:Y20"/>
    <mergeCell ref="T25:T26"/>
    <mergeCell ref="U25:U26"/>
    <mergeCell ref="U13:U14"/>
    <mergeCell ref="R15:R16"/>
    <mergeCell ref="M21:M22"/>
    <mergeCell ref="N21:N22"/>
    <mergeCell ref="AH27:AH28"/>
    <mergeCell ref="AI27:AI28"/>
    <mergeCell ref="AJ27:AJ28"/>
    <mergeCell ref="AK27:AK28"/>
    <mergeCell ref="AO27:AO28"/>
    <mergeCell ref="AP27:AP28"/>
    <mergeCell ref="AL28:AN28"/>
    <mergeCell ref="Q27:Q28"/>
    <mergeCell ref="R27:R28"/>
    <mergeCell ref="V27:V28"/>
    <mergeCell ref="Y27:Y28"/>
    <mergeCell ref="AF27:AF28"/>
    <mergeCell ref="AG27:AG28"/>
    <mergeCell ref="AO25:AO26"/>
    <mergeCell ref="AP25:AP26"/>
    <mergeCell ref="A27:A28"/>
    <mergeCell ref="B27:B28"/>
    <mergeCell ref="D27:D28"/>
    <mergeCell ref="F27:F28"/>
    <mergeCell ref="G27:G28"/>
    <mergeCell ref="L27:L28"/>
    <mergeCell ref="P27:P28"/>
    <mergeCell ref="AE25:AE26"/>
    <mergeCell ref="AF25:AF26"/>
    <mergeCell ref="Y25:Y26"/>
    <mergeCell ref="Z25:Z26"/>
    <mergeCell ref="AA25:AA26"/>
    <mergeCell ref="AB25:AB26"/>
    <mergeCell ref="AC25:AC26"/>
    <mergeCell ref="AD25:AD26"/>
    <mergeCell ref="O25:O26"/>
    <mergeCell ref="P25:P26"/>
    <mergeCell ref="Q25:Q26"/>
    <mergeCell ref="R25:R26"/>
    <mergeCell ref="W25:W26"/>
    <mergeCell ref="X25:X26"/>
    <mergeCell ref="I25:I26"/>
    <mergeCell ref="J25:J26"/>
    <mergeCell ref="K25:K26"/>
    <mergeCell ref="L25:L26"/>
    <mergeCell ref="M25:M26"/>
    <mergeCell ref="N25:N26"/>
    <mergeCell ref="AP23:AP24"/>
    <mergeCell ref="AL24:AN24"/>
    <mergeCell ref="AH23:AH24"/>
    <mergeCell ref="AI23:AI24"/>
    <mergeCell ref="AJ23:AJ24"/>
    <mergeCell ref="AK23:AK24"/>
    <mergeCell ref="AO23:AO24"/>
    <mergeCell ref="S23:S24"/>
    <mergeCell ref="T23:T24"/>
    <mergeCell ref="AL26:AN26"/>
    <mergeCell ref="AH25:AH26"/>
    <mergeCell ref="AI25:AI26"/>
    <mergeCell ref="AJ25:AJ26"/>
    <mergeCell ref="AK25:AK26"/>
    <mergeCell ref="A25:A26"/>
    <mergeCell ref="B25:B26"/>
    <mergeCell ref="C25:C26"/>
    <mergeCell ref="D25:D26"/>
    <mergeCell ref="E25:E26"/>
    <mergeCell ref="F25:F26"/>
    <mergeCell ref="G25:G26"/>
    <mergeCell ref="H25:H26"/>
    <mergeCell ref="AG23:AG24"/>
    <mergeCell ref="AA23:AA24"/>
    <mergeCell ref="AB23:AB24"/>
    <mergeCell ref="AC23:AC24"/>
    <mergeCell ref="AD23:AD24"/>
    <mergeCell ref="AE23:AE24"/>
    <mergeCell ref="AF23:AF24"/>
    <mergeCell ref="U23:U24"/>
    <mergeCell ref="V23:V24"/>
    <mergeCell ref="W23:W24"/>
    <mergeCell ref="X23:X24"/>
    <mergeCell ref="Y23:Y24"/>
    <mergeCell ref="Z23:Z24"/>
    <mergeCell ref="O23:O24"/>
    <mergeCell ref="Q23:Q24"/>
    <mergeCell ref="R23:R24"/>
    <mergeCell ref="H23:H24"/>
    <mergeCell ref="I23:I24"/>
    <mergeCell ref="J23:J24"/>
    <mergeCell ref="L23:L24"/>
    <mergeCell ref="M23:M24"/>
    <mergeCell ref="N23:N24"/>
    <mergeCell ref="AO21:AO22"/>
    <mergeCell ref="AP21:AP22"/>
    <mergeCell ref="AL22:AN22"/>
    <mergeCell ref="AH21:AH22"/>
    <mergeCell ref="AI21:AI22"/>
    <mergeCell ref="AJ21:AJ22"/>
    <mergeCell ref="AK21:AK22"/>
    <mergeCell ref="Q21:Q22"/>
    <mergeCell ref="R21:R22"/>
    <mergeCell ref="S21:S22"/>
    <mergeCell ref="A23:A24"/>
    <mergeCell ref="B23:B24"/>
    <mergeCell ref="C23:C24"/>
    <mergeCell ref="D23:D24"/>
    <mergeCell ref="E23:E24"/>
    <mergeCell ref="F23:F24"/>
    <mergeCell ref="G23:G24"/>
    <mergeCell ref="AF21:AF22"/>
    <mergeCell ref="AG21:AG22"/>
    <mergeCell ref="Z21:Z22"/>
    <mergeCell ref="AA21:AA22"/>
    <mergeCell ref="AB21:AB22"/>
    <mergeCell ref="AC21:AC22"/>
    <mergeCell ref="AD21:AD22"/>
    <mergeCell ref="AE21:AE22"/>
    <mergeCell ref="T21:T22"/>
    <mergeCell ref="U21:U22"/>
    <mergeCell ref="V21:V22"/>
    <mergeCell ref="W21:W22"/>
    <mergeCell ref="X21:X22"/>
    <mergeCell ref="Y21:Y22"/>
    <mergeCell ref="L21:L22"/>
    <mergeCell ref="O21:O22"/>
    <mergeCell ref="P21:P22"/>
    <mergeCell ref="F21:F22"/>
    <mergeCell ref="G21:G22"/>
    <mergeCell ref="H21:H22"/>
    <mergeCell ref="I21:I22"/>
    <mergeCell ref="J21:J22"/>
    <mergeCell ref="K21:K22"/>
    <mergeCell ref="AJ19:AJ20"/>
    <mergeCell ref="AK19:AK20"/>
    <mergeCell ref="AO19:AO20"/>
    <mergeCell ref="T19:T20"/>
    <mergeCell ref="H19:H20"/>
    <mergeCell ref="I19:I20"/>
    <mergeCell ref="J19:J20"/>
    <mergeCell ref="K19:K20"/>
    <mergeCell ref="L19:L20"/>
    <mergeCell ref="M19:M20"/>
    <mergeCell ref="AP19:AP20"/>
    <mergeCell ref="AL20:AN20"/>
    <mergeCell ref="A21:A22"/>
    <mergeCell ref="B21:B22"/>
    <mergeCell ref="C21:C22"/>
    <mergeCell ref="D21:D22"/>
    <mergeCell ref="E21:E22"/>
    <mergeCell ref="AC19:AC20"/>
    <mergeCell ref="AD19:AD20"/>
    <mergeCell ref="AF19:AF20"/>
    <mergeCell ref="AG19:AG20"/>
    <mergeCell ref="AH19:AH20"/>
    <mergeCell ref="AI19:AI20"/>
    <mergeCell ref="U19:U20"/>
    <mergeCell ref="V19:V20"/>
    <mergeCell ref="W19:W20"/>
    <mergeCell ref="X19:X20"/>
    <mergeCell ref="Z19:Z20"/>
    <mergeCell ref="AA19:AA20"/>
    <mergeCell ref="N19:N20"/>
    <mergeCell ref="O19:O20"/>
    <mergeCell ref="P19:P20"/>
    <mergeCell ref="Q19:Q20"/>
    <mergeCell ref="S19:S20"/>
    <mergeCell ref="A19:A20"/>
    <mergeCell ref="B19:B20"/>
    <mergeCell ref="C19:C20"/>
    <mergeCell ref="E19:E20"/>
    <mergeCell ref="F19:F20"/>
    <mergeCell ref="G19:G20"/>
    <mergeCell ref="AH17:AH18"/>
    <mergeCell ref="AI17:AI18"/>
    <mergeCell ref="AJ17:AJ18"/>
    <mergeCell ref="H17:H18"/>
    <mergeCell ref="I17:I18"/>
    <mergeCell ref="J17:J18"/>
    <mergeCell ref="R17:R18"/>
    <mergeCell ref="T17:T18"/>
    <mergeCell ref="U17:U18"/>
    <mergeCell ref="A17:A18"/>
    <mergeCell ref="B17:B18"/>
    <mergeCell ref="D17:D18"/>
    <mergeCell ref="E17:E18"/>
    <mergeCell ref="F17:F18"/>
    <mergeCell ref="G17:G18"/>
    <mergeCell ref="AK17:AK18"/>
    <mergeCell ref="AO17:AO18"/>
    <mergeCell ref="AP17:AP18"/>
    <mergeCell ref="AL18:AN18"/>
    <mergeCell ref="V17:V18"/>
    <mergeCell ref="W17:W18"/>
    <mergeCell ref="X17:X18"/>
    <mergeCell ref="Y17:Y18"/>
    <mergeCell ref="Z17:Z18"/>
    <mergeCell ref="AE17:AE18"/>
    <mergeCell ref="AH15:AH16"/>
    <mergeCell ref="AI15:AI16"/>
    <mergeCell ref="AJ15:AJ16"/>
    <mergeCell ref="AK15:AK16"/>
    <mergeCell ref="AO15:AO16"/>
    <mergeCell ref="AP15:AP16"/>
    <mergeCell ref="AL16:AN16"/>
    <mergeCell ref="AA15:AA16"/>
    <mergeCell ref="AB15:AB16"/>
    <mergeCell ref="AC15:AC16"/>
    <mergeCell ref="AD15:AD16"/>
    <mergeCell ref="AF15:AF16"/>
    <mergeCell ref="AG15:AG16"/>
    <mergeCell ref="U15:U16"/>
    <mergeCell ref="V15:V16"/>
    <mergeCell ref="W15:W16"/>
    <mergeCell ref="X15:X16"/>
    <mergeCell ref="Y15:Y16"/>
    <mergeCell ref="Z15:Z16"/>
    <mergeCell ref="N15:N16"/>
    <mergeCell ref="O15:O16"/>
    <mergeCell ref="P15:P16"/>
    <mergeCell ref="Q15:Q16"/>
    <mergeCell ref="S15:S16"/>
    <mergeCell ref="T15:T16"/>
    <mergeCell ref="H15:H16"/>
    <mergeCell ref="I15:I16"/>
    <mergeCell ref="J15:J16"/>
    <mergeCell ref="K15:K16"/>
    <mergeCell ref="L15:L16"/>
    <mergeCell ref="M15:M16"/>
    <mergeCell ref="A15:A16"/>
    <mergeCell ref="B15:B16"/>
    <mergeCell ref="C15:C16"/>
    <mergeCell ref="D15:D16"/>
    <mergeCell ref="E15:E16"/>
    <mergeCell ref="F15:F16"/>
    <mergeCell ref="AO11:AO12"/>
    <mergeCell ref="AP11:AP12"/>
    <mergeCell ref="AL12:AN12"/>
    <mergeCell ref="AI11:AI12"/>
    <mergeCell ref="AJ11:AJ12"/>
    <mergeCell ref="Q11:Q12"/>
    <mergeCell ref="R11:R12"/>
    <mergeCell ref="W13:W14"/>
    <mergeCell ref="X13:X14"/>
    <mergeCell ref="Y13:Y14"/>
    <mergeCell ref="Z13:Z14"/>
    <mergeCell ref="AA13:AA14"/>
    <mergeCell ref="AB13:AB14"/>
    <mergeCell ref="Q13:Q14"/>
    <mergeCell ref="R13:R14"/>
    <mergeCell ref="S13:S14"/>
    <mergeCell ref="T13:T14"/>
    <mergeCell ref="AI13:AI14"/>
    <mergeCell ref="AJ13:AJ14"/>
    <mergeCell ref="AK13:AK14"/>
    <mergeCell ref="AO13:AO14"/>
    <mergeCell ref="AP13:AP14"/>
    <mergeCell ref="AL14:AN14"/>
    <mergeCell ref="AC13:AC14"/>
    <mergeCell ref="O11:O12"/>
    <mergeCell ref="P11:P12"/>
    <mergeCell ref="H13:H14"/>
    <mergeCell ref="I13:I14"/>
    <mergeCell ref="J13:J14"/>
    <mergeCell ref="L13:L14"/>
    <mergeCell ref="M13:M14"/>
    <mergeCell ref="N13:N14"/>
    <mergeCell ref="AK11:AK12"/>
    <mergeCell ref="O13:O14"/>
    <mergeCell ref="AD13:AD14"/>
    <mergeCell ref="AE13:AE14"/>
    <mergeCell ref="AF13:AF14"/>
    <mergeCell ref="AG13:AG14"/>
    <mergeCell ref="AH13:AH14"/>
    <mergeCell ref="AK9:AK10"/>
    <mergeCell ref="AO9:AO10"/>
    <mergeCell ref="AP9:AP10"/>
    <mergeCell ref="AL10:AN10"/>
    <mergeCell ref="AH9:AH10"/>
    <mergeCell ref="AI9:AI10"/>
    <mergeCell ref="AJ9:AJ10"/>
    <mergeCell ref="A13:A14"/>
    <mergeCell ref="B13:B14"/>
    <mergeCell ref="E13:E14"/>
    <mergeCell ref="F13:F14"/>
    <mergeCell ref="G13:G14"/>
    <mergeCell ref="AE11:AE12"/>
    <mergeCell ref="AF11:AF12"/>
    <mergeCell ref="AG11:AG12"/>
    <mergeCell ref="AH11:AH12"/>
    <mergeCell ref="Y11:Y12"/>
    <mergeCell ref="Z11:Z12"/>
    <mergeCell ref="AA11:AA12"/>
    <mergeCell ref="AB11:AB12"/>
    <mergeCell ref="AC11:AC12"/>
    <mergeCell ref="AD11:AD12"/>
    <mergeCell ref="S11:S12"/>
    <mergeCell ref="T11:T12"/>
    <mergeCell ref="A11:A12"/>
    <mergeCell ref="B11:B12"/>
    <mergeCell ref="C11:C12"/>
    <mergeCell ref="D11:D12"/>
    <mergeCell ref="E11:E12"/>
    <mergeCell ref="F11:F12"/>
    <mergeCell ref="AE9:AE10"/>
    <mergeCell ref="AF9:AF10"/>
    <mergeCell ref="AG9:AG10"/>
    <mergeCell ref="S9:S10"/>
    <mergeCell ref="T9:T10"/>
    <mergeCell ref="U9:U10"/>
    <mergeCell ref="AB9:AB10"/>
    <mergeCell ref="G11:G12"/>
    <mergeCell ref="H11:H12"/>
    <mergeCell ref="I11:I12"/>
    <mergeCell ref="J11:J12"/>
    <mergeCell ref="K11:K12"/>
    <mergeCell ref="L11:L12"/>
    <mergeCell ref="U11:U12"/>
    <mergeCell ref="W11:W12"/>
    <mergeCell ref="X11:X12"/>
    <mergeCell ref="M11:M12"/>
    <mergeCell ref="N11:N12"/>
    <mergeCell ref="AP7:AP8"/>
    <mergeCell ref="AL8:AN8"/>
    <mergeCell ref="A9:A10"/>
    <mergeCell ref="B9:B10"/>
    <mergeCell ref="D9:D10"/>
    <mergeCell ref="E9:E10"/>
    <mergeCell ref="H9:H10"/>
    <mergeCell ref="I9:I10"/>
    <mergeCell ref="L9:L10"/>
    <mergeCell ref="P9:P10"/>
    <mergeCell ref="AG7:AG8"/>
    <mergeCell ref="AH7:AH8"/>
    <mergeCell ref="AI7:AI8"/>
    <mergeCell ref="AJ7:AJ8"/>
    <mergeCell ref="AK7:AK8"/>
    <mergeCell ref="AO7:AO8"/>
    <mergeCell ref="R7:R8"/>
    <mergeCell ref="S7:S8"/>
    <mergeCell ref="T7:T8"/>
    <mergeCell ref="V7:V8"/>
    <mergeCell ref="W7:W8"/>
    <mergeCell ref="K7:K8"/>
    <mergeCell ref="L7:L8"/>
    <mergeCell ref="M7:M8"/>
    <mergeCell ref="P7:P8"/>
    <mergeCell ref="Q7:Q8"/>
    <mergeCell ref="AK5:AK6"/>
    <mergeCell ref="AO5:AO6"/>
    <mergeCell ref="AP5:AP6"/>
    <mergeCell ref="AL6:AN6"/>
    <mergeCell ref="A7:A8"/>
    <mergeCell ref="B7:B8"/>
    <mergeCell ref="D7:D8"/>
    <mergeCell ref="E7:E8"/>
    <mergeCell ref="I7:I8"/>
    <mergeCell ref="J7:J8"/>
    <mergeCell ref="Z5:Z6"/>
    <mergeCell ref="AB5:AB6"/>
    <mergeCell ref="AC5:AC6"/>
    <mergeCell ref="AH5:AH6"/>
    <mergeCell ref="AI5:AI6"/>
    <mergeCell ref="AJ5:AJ6"/>
    <mergeCell ref="M5:M6"/>
    <mergeCell ref="N5:N6"/>
    <mergeCell ref="O5:O6"/>
    <mergeCell ref="T5:T6"/>
    <mergeCell ref="Y5:Y6"/>
    <mergeCell ref="A5:A6"/>
    <mergeCell ref="B5:B6"/>
    <mergeCell ref="D5:D6"/>
    <mergeCell ref="E5:E6"/>
    <mergeCell ref="F5:F6"/>
    <mergeCell ref="L5:L6"/>
    <mergeCell ref="A1:AP1"/>
    <mergeCell ref="A2:A4"/>
    <mergeCell ref="B2:B4"/>
    <mergeCell ref="C2:AG2"/>
    <mergeCell ref="AH2:AN2"/>
    <mergeCell ref="AO2:AO4"/>
    <mergeCell ref="AP2:AP4"/>
    <mergeCell ref="AH3:AK3"/>
    <mergeCell ref="AL3:AN3"/>
  </mergeCells>
  <phoneticPr fontId="8" type="noConversion"/>
  <conditionalFormatting sqref="C3 C5:C10 C17:C18 C27:C28">
    <cfRule type="expression" dxfId="30" priority="1">
      <formula>"C4=""S"""</formula>
    </cfRule>
  </conditionalFormatting>
  <pageMargins left="0.25138888888888899" right="0.25138888888888899" top="0.55486111111111103" bottom="0.55486111111111103" header="0.29861111111111099" footer="0.29861111111111099"/>
  <pageSetup paperSize="9" scale="73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C96BA-528C-42CF-BA1E-C5C6ED1BDF77}">
  <sheetPr>
    <pageSetUpPr fitToPage="1"/>
  </sheetPr>
  <dimension ref="A1:AP31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T19" sqref="T19"/>
    </sheetView>
  </sheetViews>
  <sheetFormatPr defaultColWidth="9" defaultRowHeight="14.25"/>
  <cols>
    <col min="1" max="1" width="6" bestFit="1" customWidth="1"/>
    <col min="2" max="2" width="8.125" customWidth="1"/>
    <col min="3" max="32" width="4.125" customWidth="1"/>
    <col min="33" max="33" width="4" customWidth="1"/>
    <col min="34" max="38" width="5.25" bestFit="1" customWidth="1"/>
    <col min="39" max="39" width="7.125" bestFit="1" customWidth="1"/>
    <col min="40" max="40" width="5.25" customWidth="1"/>
    <col min="41" max="41" width="5.25" bestFit="1" customWidth="1"/>
    <col min="42" max="42" width="9.125" customWidth="1"/>
  </cols>
  <sheetData>
    <row r="1" spans="1:42" ht="84" customHeight="1" thickBot="1">
      <c r="A1" s="142" t="s">
        <v>15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  <c r="AD1" s="142"/>
      <c r="AE1" s="142"/>
      <c r="AF1" s="142"/>
      <c r="AG1" s="142"/>
      <c r="AH1" s="142"/>
      <c r="AI1" s="142"/>
      <c r="AJ1" s="142"/>
      <c r="AK1" s="142"/>
      <c r="AL1" s="142"/>
      <c r="AM1" s="142"/>
      <c r="AN1" s="142"/>
      <c r="AO1" s="142"/>
      <c r="AP1" s="142"/>
    </row>
    <row r="2" spans="1:42" ht="31.5" customHeight="1">
      <c r="A2" s="143" t="s">
        <v>0</v>
      </c>
      <c r="B2" s="145" t="s">
        <v>1</v>
      </c>
      <c r="C2" s="147" t="s">
        <v>46</v>
      </c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267" t="s">
        <v>39</v>
      </c>
      <c r="AI2" s="268"/>
      <c r="AJ2" s="268"/>
      <c r="AK2" s="268"/>
      <c r="AL2" s="268"/>
      <c r="AM2" s="268"/>
      <c r="AN2" s="269"/>
      <c r="AO2" s="152" t="s">
        <v>16</v>
      </c>
      <c r="AP2" s="155" t="s">
        <v>24</v>
      </c>
    </row>
    <row r="3" spans="1:42">
      <c r="A3" s="144"/>
      <c r="B3" s="146"/>
      <c r="C3" s="58">
        <v>1</v>
      </c>
      <c r="D3" s="53">
        <v>2</v>
      </c>
      <c r="E3" s="53">
        <v>3</v>
      </c>
      <c r="F3" s="113">
        <v>4</v>
      </c>
      <c r="G3" s="113">
        <v>5</v>
      </c>
      <c r="H3" s="48">
        <v>6</v>
      </c>
      <c r="I3" s="48">
        <v>7</v>
      </c>
      <c r="J3" s="48">
        <v>8</v>
      </c>
      <c r="K3" s="48">
        <v>9</v>
      </c>
      <c r="L3" s="113">
        <v>10</v>
      </c>
      <c r="M3" s="48">
        <v>11</v>
      </c>
      <c r="N3" s="48">
        <v>12</v>
      </c>
      <c r="O3" s="48">
        <v>13</v>
      </c>
      <c r="P3" s="48">
        <v>14</v>
      </c>
      <c r="Q3" s="48">
        <v>15</v>
      </c>
      <c r="R3" s="113">
        <v>16</v>
      </c>
      <c r="S3" s="115">
        <v>17</v>
      </c>
      <c r="T3" s="48">
        <v>18</v>
      </c>
      <c r="U3" s="48">
        <v>19</v>
      </c>
      <c r="V3" s="81">
        <v>20</v>
      </c>
      <c r="W3" s="48">
        <v>21</v>
      </c>
      <c r="X3" s="48">
        <v>22</v>
      </c>
      <c r="Y3" s="113">
        <v>23</v>
      </c>
      <c r="Z3" s="113">
        <v>24</v>
      </c>
      <c r="AA3" s="49">
        <v>25</v>
      </c>
      <c r="AB3" s="49">
        <v>26</v>
      </c>
      <c r="AC3" s="48">
        <v>27</v>
      </c>
      <c r="AD3" s="49">
        <v>28</v>
      </c>
      <c r="AE3" s="48">
        <v>29</v>
      </c>
      <c r="AF3" s="113">
        <v>30</v>
      </c>
      <c r="AG3" s="113">
        <v>31</v>
      </c>
      <c r="AH3" s="160" t="s">
        <v>43</v>
      </c>
      <c r="AI3" s="161"/>
      <c r="AJ3" s="161"/>
      <c r="AK3" s="162"/>
      <c r="AL3" s="160" t="s">
        <v>42</v>
      </c>
      <c r="AM3" s="161"/>
      <c r="AN3" s="162"/>
      <c r="AO3" s="153"/>
      <c r="AP3" s="156"/>
    </row>
    <row r="4" spans="1:42" ht="15" thickBot="1">
      <c r="A4" s="144"/>
      <c r="B4" s="146"/>
      <c r="C4" s="107" t="s">
        <v>28</v>
      </c>
      <c r="D4" s="107" t="s">
        <v>28</v>
      </c>
      <c r="E4" s="107" t="s">
        <v>28</v>
      </c>
      <c r="F4" s="114" t="s">
        <v>30</v>
      </c>
      <c r="G4" s="114" t="s">
        <v>30</v>
      </c>
      <c r="H4" s="59" t="s">
        <v>29</v>
      </c>
      <c r="I4" s="59" t="s">
        <v>29</v>
      </c>
      <c r="J4" s="59" t="s">
        <v>29</v>
      </c>
      <c r="K4" s="59" t="s">
        <v>29</v>
      </c>
      <c r="L4" s="114" t="s">
        <v>30</v>
      </c>
      <c r="M4" s="59" t="s">
        <v>29</v>
      </c>
      <c r="N4" s="59" t="s">
        <v>29</v>
      </c>
      <c r="O4" s="59" t="s">
        <v>29</v>
      </c>
      <c r="P4" s="59" t="s">
        <v>29</v>
      </c>
      <c r="Q4" s="59" t="s">
        <v>29</v>
      </c>
      <c r="R4" s="114" t="s">
        <v>30</v>
      </c>
      <c r="S4" s="116" t="s">
        <v>30</v>
      </c>
      <c r="T4" s="83" t="s">
        <v>29</v>
      </c>
      <c r="U4" s="83" t="s">
        <v>29</v>
      </c>
      <c r="V4" s="59" t="s">
        <v>29</v>
      </c>
      <c r="W4" s="59" t="s">
        <v>29</v>
      </c>
      <c r="X4" s="59" t="s">
        <v>29</v>
      </c>
      <c r="Y4" s="114" t="s">
        <v>30</v>
      </c>
      <c r="Z4" s="114" t="s">
        <v>30</v>
      </c>
      <c r="AA4" s="59" t="s">
        <v>29</v>
      </c>
      <c r="AB4" s="59" t="s">
        <v>29</v>
      </c>
      <c r="AC4" s="59" t="s">
        <v>29</v>
      </c>
      <c r="AD4" s="59" t="s">
        <v>29</v>
      </c>
      <c r="AE4" s="59" t="s">
        <v>29</v>
      </c>
      <c r="AF4" s="114" t="s">
        <v>30</v>
      </c>
      <c r="AG4" s="114" t="s">
        <v>30</v>
      </c>
      <c r="AH4" s="101" t="s">
        <v>38</v>
      </c>
      <c r="AI4" s="102" t="s">
        <v>44</v>
      </c>
      <c r="AJ4" s="102" t="s">
        <v>40</v>
      </c>
      <c r="AK4" s="103" t="s">
        <v>41</v>
      </c>
      <c r="AL4" s="101" t="s">
        <v>26</v>
      </c>
      <c r="AM4" s="102" t="s">
        <v>32</v>
      </c>
      <c r="AN4" s="103" t="s">
        <v>27</v>
      </c>
      <c r="AO4" s="154"/>
      <c r="AP4" s="156"/>
    </row>
    <row r="5" spans="1:42" s="1" customFormat="1" ht="15.95" customHeight="1">
      <c r="A5" s="174">
        <v>1</v>
      </c>
      <c r="B5" s="176" t="s">
        <v>2</v>
      </c>
      <c r="C5" s="62"/>
      <c r="D5" s="274"/>
      <c r="E5" s="274"/>
      <c r="F5" s="272"/>
      <c r="G5" s="108"/>
      <c r="H5" s="63" t="s">
        <v>21</v>
      </c>
      <c r="I5" s="64"/>
      <c r="J5" s="64"/>
      <c r="K5" s="64"/>
      <c r="L5" s="272"/>
      <c r="M5" s="242"/>
      <c r="N5" s="242"/>
      <c r="O5" s="242"/>
      <c r="P5" s="64"/>
      <c r="Q5" s="64"/>
      <c r="R5" s="108"/>
      <c r="S5" s="109"/>
      <c r="T5" s="204"/>
      <c r="U5" s="16"/>
      <c r="V5" s="64"/>
      <c r="W5" s="64" t="s">
        <v>21</v>
      </c>
      <c r="X5" s="64"/>
      <c r="Y5" s="272"/>
      <c r="Z5" s="272"/>
      <c r="AA5" s="64"/>
      <c r="AB5" s="242"/>
      <c r="AC5" s="242"/>
      <c r="AD5" s="64"/>
      <c r="AE5" s="64"/>
      <c r="AF5" s="108"/>
      <c r="AG5" s="108"/>
      <c r="AH5" s="163">
        <f>-(SUMIF(C5:AG5,"=年",C6:AG6))</f>
        <v>8</v>
      </c>
      <c r="AI5" s="165">
        <f>-(SUMIF(C5:AG5,"=调",C6:AG6))</f>
        <v>0</v>
      </c>
      <c r="AJ5" s="165">
        <f>-(SUMIF(C5:AG5,"=病",C6:AG6))</f>
        <v>0</v>
      </c>
      <c r="AK5" s="165">
        <f>-(SUMIF(C5:AG5,"=事",C6:AG6))</f>
        <v>0</v>
      </c>
      <c r="AL5" s="70">
        <f>SUMIF(C4:AG4,"P",C5:AG6)</f>
        <v>0</v>
      </c>
      <c r="AM5" s="67">
        <f>SUMIF(C4:AG4,"S",C5:AG6)</f>
        <v>0</v>
      </c>
      <c r="AN5" s="77">
        <f>SUMIF(C4:AG4,"G",C5:AG6)</f>
        <v>0</v>
      </c>
      <c r="AO5" s="167">
        <f>AH5+'2026-04'!AO5</f>
        <v>28</v>
      </c>
      <c r="AP5" s="169"/>
    </row>
    <row r="6" spans="1:42" s="1" customFormat="1" ht="15.95" customHeight="1">
      <c r="A6" s="175"/>
      <c r="B6" s="177"/>
      <c r="C6" s="36"/>
      <c r="D6" s="238"/>
      <c r="E6" s="238"/>
      <c r="F6" s="273"/>
      <c r="G6" s="109"/>
      <c r="H6" s="37">
        <v>-4</v>
      </c>
      <c r="I6" s="16"/>
      <c r="J6" s="16"/>
      <c r="K6" s="16"/>
      <c r="L6" s="273"/>
      <c r="M6" s="204"/>
      <c r="N6" s="198"/>
      <c r="O6" s="198"/>
      <c r="P6" s="16"/>
      <c r="Q6" s="16"/>
      <c r="R6" s="109"/>
      <c r="S6" s="111"/>
      <c r="T6" s="204"/>
      <c r="U6" s="15"/>
      <c r="V6" s="16"/>
      <c r="W6" s="16">
        <v>-4</v>
      </c>
      <c r="X6" s="16"/>
      <c r="Y6" s="273"/>
      <c r="Z6" s="273"/>
      <c r="AA6" s="15"/>
      <c r="AB6" s="204"/>
      <c r="AC6" s="204"/>
      <c r="AD6" s="16"/>
      <c r="AE6" s="16"/>
      <c r="AF6" s="109"/>
      <c r="AG6" s="109"/>
      <c r="AH6" s="164"/>
      <c r="AI6" s="166"/>
      <c r="AJ6" s="166"/>
      <c r="AK6" s="166"/>
      <c r="AL6" s="171" t="str">
        <f>IF(SUM(C5:AG5)-AI5=0,"√",SUM(C5:AG5)-AI5)</f>
        <v>√</v>
      </c>
      <c r="AM6" s="172"/>
      <c r="AN6" s="173"/>
      <c r="AO6" s="168"/>
      <c r="AP6" s="170"/>
    </row>
    <row r="7" spans="1:42" s="1" customFormat="1" ht="15.95" customHeight="1">
      <c r="A7" s="185">
        <v>2</v>
      </c>
      <c r="B7" s="186" t="s">
        <v>3</v>
      </c>
      <c r="C7" s="32"/>
      <c r="D7" s="236"/>
      <c r="E7" s="236"/>
      <c r="F7" s="110"/>
      <c r="G7" s="110"/>
      <c r="H7" s="11"/>
      <c r="I7" s="197"/>
      <c r="J7" s="18" t="s">
        <v>22</v>
      </c>
      <c r="K7" s="197"/>
      <c r="L7" s="275"/>
      <c r="M7" s="197"/>
      <c r="N7" s="11"/>
      <c r="O7" s="11"/>
      <c r="P7" s="197"/>
      <c r="Q7" s="197"/>
      <c r="R7" s="275"/>
      <c r="S7" s="275"/>
      <c r="T7" s="197"/>
      <c r="U7" s="16"/>
      <c r="V7" s="197"/>
      <c r="W7" s="197"/>
      <c r="X7" s="11"/>
      <c r="Y7" s="117"/>
      <c r="Z7" s="110"/>
      <c r="AA7" s="16"/>
      <c r="AB7" s="11"/>
      <c r="AC7" s="11"/>
      <c r="AD7" s="11"/>
      <c r="AE7" s="11"/>
      <c r="AF7" s="110"/>
      <c r="AG7" s="275"/>
      <c r="AH7" s="189">
        <f>-(SUMIF(C7:AG7,"=年",C8:AG8))</f>
        <v>0</v>
      </c>
      <c r="AI7" s="193">
        <f>-(SUMIF(C7:AG7,"=调",C8:AG8))</f>
        <v>3</v>
      </c>
      <c r="AJ7" s="193">
        <f>-(SUMIF(C7:AG7,"=病",C8:AG8))</f>
        <v>0</v>
      </c>
      <c r="AK7" s="193">
        <f>-(SUMIF(C7:AG7,"=事",C8:AG8))</f>
        <v>0</v>
      </c>
      <c r="AL7" s="71">
        <f>SUMIF(C4:AG4,"P",C7:AG8)</f>
        <v>0</v>
      </c>
      <c r="AM7" s="57">
        <f>SUMIF(C4:AG4,"S",C7:AG8)</f>
        <v>0</v>
      </c>
      <c r="AN7" s="78">
        <f>SUMIF(C4:AG4,"G",C7:AG8)</f>
        <v>0</v>
      </c>
      <c r="AO7" s="167">
        <f>AH7+'2026-04'!AO7</f>
        <v>36</v>
      </c>
      <c r="AP7" s="217"/>
    </row>
    <row r="8" spans="1:42" s="1" customFormat="1" ht="15.95" customHeight="1">
      <c r="A8" s="185"/>
      <c r="B8" s="186"/>
      <c r="C8" s="31"/>
      <c r="D8" s="237"/>
      <c r="E8" s="237"/>
      <c r="F8" s="111"/>
      <c r="G8" s="111"/>
      <c r="H8" s="15"/>
      <c r="I8" s="198"/>
      <c r="J8" s="50">
        <v>-3</v>
      </c>
      <c r="K8" s="198"/>
      <c r="L8" s="276"/>
      <c r="M8" s="198"/>
      <c r="N8" s="15"/>
      <c r="O8" s="15"/>
      <c r="P8" s="198"/>
      <c r="Q8" s="198"/>
      <c r="R8" s="276"/>
      <c r="S8" s="276"/>
      <c r="T8" s="198"/>
      <c r="U8" s="15"/>
      <c r="V8" s="198"/>
      <c r="W8" s="198"/>
      <c r="X8" s="15"/>
      <c r="Y8" s="118"/>
      <c r="Z8" s="111"/>
      <c r="AA8" s="15"/>
      <c r="AB8" s="15"/>
      <c r="AC8" s="15"/>
      <c r="AD8" s="15"/>
      <c r="AE8" s="16"/>
      <c r="AF8" s="111"/>
      <c r="AG8" s="276"/>
      <c r="AH8" s="180"/>
      <c r="AI8" s="194"/>
      <c r="AJ8" s="194"/>
      <c r="AK8" s="194"/>
      <c r="AL8" s="190">
        <f>IF(SUM(C7:AG7)-AI7=0,"√",SUM(C7:AG7)-AI7)</f>
        <v>-3</v>
      </c>
      <c r="AM8" s="191"/>
      <c r="AN8" s="192"/>
      <c r="AO8" s="168"/>
      <c r="AP8" s="196"/>
    </row>
    <row r="9" spans="1:42" s="1" customFormat="1" ht="15.95" customHeight="1">
      <c r="A9" s="182">
        <v>3</v>
      </c>
      <c r="B9" s="183" t="s">
        <v>4</v>
      </c>
      <c r="C9" s="60"/>
      <c r="D9" s="236"/>
      <c r="E9" s="236"/>
      <c r="F9" s="109"/>
      <c r="G9" s="109"/>
      <c r="H9" s="197"/>
      <c r="I9" s="197"/>
      <c r="J9" s="16"/>
      <c r="K9" s="16"/>
      <c r="L9" s="273"/>
      <c r="M9" s="16"/>
      <c r="N9" s="16"/>
      <c r="O9" s="16"/>
      <c r="P9" s="197"/>
      <c r="Q9" s="16"/>
      <c r="R9" s="109"/>
      <c r="S9" s="273"/>
      <c r="T9" s="197"/>
      <c r="U9" s="197"/>
      <c r="V9" s="16"/>
      <c r="W9" s="16"/>
      <c r="X9" s="16" t="s">
        <v>21</v>
      </c>
      <c r="Y9" s="109"/>
      <c r="Z9" s="109"/>
      <c r="AA9" s="16"/>
      <c r="AB9" s="204"/>
      <c r="AC9" s="16"/>
      <c r="AD9" s="16"/>
      <c r="AE9" s="197"/>
      <c r="AF9" s="275">
        <v>8.5</v>
      </c>
      <c r="AG9" s="275">
        <v>8.5</v>
      </c>
      <c r="AH9" s="164">
        <f>-(SUMIF(C9:AG9,"=年",C10:AG10))</f>
        <v>4</v>
      </c>
      <c r="AI9" s="166">
        <f>-(SUMIF(C9:AG9,"=调",C10:AG10))</f>
        <v>0</v>
      </c>
      <c r="AJ9" s="166">
        <f>-(SUMIF(C9:AG9,"=病",C10:AG10))</f>
        <v>0</v>
      </c>
      <c r="AK9" s="166">
        <f>-(SUMIF(C9:AG9,"=事",C10:AG10))</f>
        <v>0</v>
      </c>
      <c r="AL9" s="72">
        <f>SUMIF(C4:AG4,"P",C9:AG10)</f>
        <v>0</v>
      </c>
      <c r="AM9" s="68">
        <f>SUMIF(C4:AG4,"S",C9:AG10)</f>
        <v>17</v>
      </c>
      <c r="AN9" s="79">
        <f>SUMIF(C4:AG4,"G",C9:AG10)</f>
        <v>0</v>
      </c>
      <c r="AO9" s="167">
        <f>AH9+'2026-04'!AO9</f>
        <v>34</v>
      </c>
      <c r="AP9" s="170"/>
    </row>
    <row r="10" spans="1:42" s="1" customFormat="1" ht="15.95" customHeight="1">
      <c r="A10" s="175"/>
      <c r="B10" s="177"/>
      <c r="C10" s="60"/>
      <c r="D10" s="237"/>
      <c r="E10" s="237"/>
      <c r="F10" s="109"/>
      <c r="G10" s="109"/>
      <c r="H10" s="198"/>
      <c r="I10" s="198"/>
      <c r="J10" s="16"/>
      <c r="K10" s="16"/>
      <c r="L10" s="273"/>
      <c r="M10" s="16"/>
      <c r="N10" s="16"/>
      <c r="O10" s="16"/>
      <c r="P10" s="198"/>
      <c r="Q10" s="16"/>
      <c r="R10" s="109"/>
      <c r="S10" s="273"/>
      <c r="T10" s="198"/>
      <c r="U10" s="198"/>
      <c r="V10" s="16"/>
      <c r="W10" s="16"/>
      <c r="X10" s="16">
        <v>-4</v>
      </c>
      <c r="Y10" s="109"/>
      <c r="Z10" s="109"/>
      <c r="AA10" s="16"/>
      <c r="AB10" s="204"/>
      <c r="AC10" s="16"/>
      <c r="AD10" s="16"/>
      <c r="AE10" s="198"/>
      <c r="AF10" s="276"/>
      <c r="AG10" s="276"/>
      <c r="AH10" s="164"/>
      <c r="AI10" s="166"/>
      <c r="AJ10" s="166"/>
      <c r="AK10" s="166"/>
      <c r="AL10" s="190">
        <f>IF(SUM(C9:AG9)-AI9=0,"√",SUM(C9:AG9)-AI9)</f>
        <v>17</v>
      </c>
      <c r="AM10" s="191"/>
      <c r="AN10" s="192"/>
      <c r="AO10" s="168"/>
      <c r="AP10" s="170"/>
    </row>
    <row r="11" spans="1:42" s="1" customFormat="1" ht="15.95" customHeight="1">
      <c r="A11" s="185">
        <v>4</v>
      </c>
      <c r="B11" s="186" t="s">
        <v>5</v>
      </c>
      <c r="C11" s="236"/>
      <c r="D11" s="236"/>
      <c r="E11" s="236"/>
      <c r="F11" s="275">
        <v>8.5</v>
      </c>
      <c r="G11" s="277">
        <v>8.5</v>
      </c>
      <c r="H11" s="197"/>
      <c r="I11" s="197"/>
      <c r="J11" s="197"/>
      <c r="K11" s="197"/>
      <c r="L11" s="275">
        <v>8.5</v>
      </c>
      <c r="M11" s="197">
        <v>3</v>
      </c>
      <c r="N11" s="197">
        <v>3</v>
      </c>
      <c r="O11" s="197">
        <v>3</v>
      </c>
      <c r="P11" s="197"/>
      <c r="Q11" s="197"/>
      <c r="R11" s="275">
        <v>8.5</v>
      </c>
      <c r="S11" s="275">
        <v>8.5</v>
      </c>
      <c r="T11" s="197">
        <v>3</v>
      </c>
      <c r="U11" s="197"/>
      <c r="V11" s="197">
        <v>3</v>
      </c>
      <c r="W11" s="197">
        <v>3</v>
      </c>
      <c r="X11" s="197"/>
      <c r="Y11" s="275">
        <v>8.5</v>
      </c>
      <c r="Z11" s="275">
        <v>8.5</v>
      </c>
      <c r="AA11" s="197"/>
      <c r="AB11" s="197"/>
      <c r="AC11" s="197"/>
      <c r="AD11" s="197">
        <v>3</v>
      </c>
      <c r="AE11" s="197"/>
      <c r="AF11" s="275">
        <v>8.5</v>
      </c>
      <c r="AG11" s="275">
        <v>8.5</v>
      </c>
      <c r="AH11" s="189">
        <f>-(SUMIF(C11:AG11,"=年",C12:AG12))</f>
        <v>0</v>
      </c>
      <c r="AI11" s="193">
        <f>-(SUMIF(C11:AG11,"=调",C12:AG12))</f>
        <v>0</v>
      </c>
      <c r="AJ11" s="193">
        <f>-(SUMIF(C11:AG11,"=病",C12:AG12))</f>
        <v>0</v>
      </c>
      <c r="AK11" s="193">
        <f>-(SUMIF(C11:AG11,"=事",C12:AG12))</f>
        <v>0</v>
      </c>
      <c r="AL11" s="71">
        <f>SUMIF(C4:AG4,"P",C11:AG12)</f>
        <v>21</v>
      </c>
      <c r="AM11" s="46">
        <f>SUMIF(C4:AG4,"S",C11:AG12)</f>
        <v>76.5</v>
      </c>
      <c r="AN11" s="78">
        <f>SUMIF(C4:AG4,"G",C11:AG12)</f>
        <v>0</v>
      </c>
      <c r="AO11" s="167">
        <f>AH11+'2026-04'!AO11</f>
        <v>0</v>
      </c>
      <c r="AP11" s="202"/>
    </row>
    <row r="12" spans="1:42" s="1" customFormat="1" ht="15.95" customHeight="1">
      <c r="A12" s="185"/>
      <c r="B12" s="186"/>
      <c r="C12" s="237"/>
      <c r="D12" s="237"/>
      <c r="E12" s="237"/>
      <c r="F12" s="276"/>
      <c r="G12" s="277"/>
      <c r="H12" s="198"/>
      <c r="I12" s="198"/>
      <c r="J12" s="198"/>
      <c r="K12" s="198"/>
      <c r="L12" s="276"/>
      <c r="M12" s="198"/>
      <c r="N12" s="198"/>
      <c r="O12" s="198"/>
      <c r="P12" s="198"/>
      <c r="Q12" s="198"/>
      <c r="R12" s="276"/>
      <c r="S12" s="276"/>
      <c r="T12" s="198"/>
      <c r="U12" s="198"/>
      <c r="V12" s="198"/>
      <c r="W12" s="198"/>
      <c r="X12" s="198"/>
      <c r="Y12" s="276"/>
      <c r="Z12" s="276"/>
      <c r="AA12" s="198"/>
      <c r="AB12" s="198"/>
      <c r="AC12" s="198"/>
      <c r="AD12" s="198"/>
      <c r="AE12" s="198"/>
      <c r="AF12" s="276"/>
      <c r="AG12" s="276"/>
      <c r="AH12" s="180"/>
      <c r="AI12" s="194"/>
      <c r="AJ12" s="194"/>
      <c r="AK12" s="194"/>
      <c r="AL12" s="190">
        <f>IF(SUM(C11:AG11)-AI11=0,"√",SUM(C11:AG11)-AI11)</f>
        <v>97.5</v>
      </c>
      <c r="AM12" s="191"/>
      <c r="AN12" s="200"/>
      <c r="AO12" s="168"/>
      <c r="AP12" s="203"/>
    </row>
    <row r="13" spans="1:42" s="1" customFormat="1" ht="15.95" customHeight="1">
      <c r="A13" s="182">
        <v>5</v>
      </c>
      <c r="B13" s="183" t="s">
        <v>6</v>
      </c>
      <c r="C13" s="42"/>
      <c r="D13" s="42"/>
      <c r="E13" s="236"/>
      <c r="F13" s="275">
        <v>8.5</v>
      </c>
      <c r="G13" s="277">
        <v>8.5</v>
      </c>
      <c r="H13" s="197"/>
      <c r="I13" s="197"/>
      <c r="J13" s="197"/>
      <c r="K13" s="11"/>
      <c r="L13" s="275">
        <v>8.5</v>
      </c>
      <c r="M13" s="197">
        <v>3</v>
      </c>
      <c r="N13" s="197">
        <v>3</v>
      </c>
      <c r="O13" s="18" t="s">
        <v>22</v>
      </c>
      <c r="P13" s="11"/>
      <c r="Q13" s="197">
        <v>3</v>
      </c>
      <c r="R13" s="275">
        <v>8.5</v>
      </c>
      <c r="S13" s="275">
        <v>8.5</v>
      </c>
      <c r="T13" s="197"/>
      <c r="U13" s="197"/>
      <c r="V13" s="11"/>
      <c r="W13" s="197">
        <v>3</v>
      </c>
      <c r="X13" s="197"/>
      <c r="Y13" s="275">
        <v>8.5</v>
      </c>
      <c r="Z13" s="275">
        <v>8.5</v>
      </c>
      <c r="AA13" s="18" t="s">
        <v>22</v>
      </c>
      <c r="AB13" s="197"/>
      <c r="AC13" s="197"/>
      <c r="AD13" s="197">
        <v>3</v>
      </c>
      <c r="AE13" s="197"/>
      <c r="AF13" s="275">
        <v>8.5</v>
      </c>
      <c r="AG13" s="275">
        <v>8.5</v>
      </c>
      <c r="AH13" s="164">
        <f>-(SUMIF(C13:AG13,"=年",C14:AG14))</f>
        <v>0</v>
      </c>
      <c r="AI13" s="166">
        <f>-(SUMIF(C13:AG13,"=调",C14:AG14))</f>
        <v>11</v>
      </c>
      <c r="AJ13" s="166">
        <f>-(SUMIF(C13:AG13,"=病",C14:AG14))</f>
        <v>0</v>
      </c>
      <c r="AK13" s="166">
        <f>-(SUMIF(C13:AG13,"=事",C14:AG14))</f>
        <v>0</v>
      </c>
      <c r="AL13" s="72">
        <f>SUMIF(C4:AG4,"P",C13:AG14)</f>
        <v>15</v>
      </c>
      <c r="AM13" s="68">
        <f>SUMIF(C4:AG4,"S",C13:AG14)</f>
        <v>76.5</v>
      </c>
      <c r="AN13" s="79">
        <f>SUMIF(C4:AG4,"G",C13:AG14)</f>
        <v>0</v>
      </c>
      <c r="AO13" s="167">
        <f>AH13+'2026-04'!AO13</f>
        <v>18</v>
      </c>
      <c r="AP13" s="240"/>
    </row>
    <row r="14" spans="1:42" s="1" customFormat="1" ht="15.95" customHeight="1">
      <c r="A14" s="175"/>
      <c r="B14" s="177"/>
      <c r="C14" s="41"/>
      <c r="D14" s="41"/>
      <c r="E14" s="237"/>
      <c r="F14" s="276"/>
      <c r="G14" s="277"/>
      <c r="H14" s="198"/>
      <c r="I14" s="198"/>
      <c r="J14" s="198"/>
      <c r="K14" s="15"/>
      <c r="L14" s="276"/>
      <c r="M14" s="198"/>
      <c r="N14" s="198"/>
      <c r="O14" s="50">
        <v>-8</v>
      </c>
      <c r="P14" s="15"/>
      <c r="Q14" s="198"/>
      <c r="R14" s="276"/>
      <c r="S14" s="276"/>
      <c r="T14" s="198"/>
      <c r="U14" s="198"/>
      <c r="V14" s="15"/>
      <c r="W14" s="198"/>
      <c r="X14" s="198"/>
      <c r="Y14" s="276"/>
      <c r="Z14" s="276"/>
      <c r="AA14" s="50">
        <v>-3</v>
      </c>
      <c r="AB14" s="198"/>
      <c r="AC14" s="198"/>
      <c r="AD14" s="198"/>
      <c r="AE14" s="198"/>
      <c r="AF14" s="276"/>
      <c r="AG14" s="276"/>
      <c r="AH14" s="164"/>
      <c r="AI14" s="166"/>
      <c r="AJ14" s="166"/>
      <c r="AK14" s="166"/>
      <c r="AL14" s="171">
        <f>IF(SUM(C13:AG13)-AI13=0,"√",SUM(C13:AG13)-AI13)</f>
        <v>80.5</v>
      </c>
      <c r="AM14" s="172"/>
      <c r="AN14" s="173"/>
      <c r="AO14" s="168"/>
      <c r="AP14" s="240"/>
    </row>
    <row r="15" spans="1:42" s="1" customFormat="1" ht="15.95" customHeight="1">
      <c r="A15" s="185">
        <v>6</v>
      </c>
      <c r="B15" s="186" t="s">
        <v>7</v>
      </c>
      <c r="C15" s="236"/>
      <c r="D15" s="236">
        <v>6</v>
      </c>
      <c r="E15" s="236"/>
      <c r="F15" s="275">
        <v>8.5</v>
      </c>
      <c r="G15" s="277">
        <v>8.5</v>
      </c>
      <c r="H15" s="197"/>
      <c r="I15" s="197"/>
      <c r="J15" s="197"/>
      <c r="K15" s="197"/>
      <c r="L15" s="275">
        <v>8.5</v>
      </c>
      <c r="M15" s="197">
        <v>3</v>
      </c>
      <c r="N15" s="197">
        <v>3</v>
      </c>
      <c r="O15" s="197"/>
      <c r="P15" s="197"/>
      <c r="Q15" s="197"/>
      <c r="R15" s="275">
        <v>8.5</v>
      </c>
      <c r="S15" s="275">
        <v>8.5</v>
      </c>
      <c r="T15" s="197">
        <v>3</v>
      </c>
      <c r="U15" s="197"/>
      <c r="V15" s="197">
        <v>3</v>
      </c>
      <c r="W15" s="197">
        <v>3</v>
      </c>
      <c r="X15" s="197"/>
      <c r="Y15" s="275">
        <v>8.5</v>
      </c>
      <c r="Z15" s="275">
        <v>8.5</v>
      </c>
      <c r="AA15" s="197"/>
      <c r="AB15" s="197"/>
      <c r="AC15" s="197"/>
      <c r="AD15" s="197">
        <v>3</v>
      </c>
      <c r="AE15" s="16"/>
      <c r="AF15" s="275">
        <v>8.5</v>
      </c>
      <c r="AG15" s="275">
        <v>8.5</v>
      </c>
      <c r="AH15" s="189">
        <f>-(SUMIF(C15:AG15,"=年",C16:AG16))</f>
        <v>0</v>
      </c>
      <c r="AI15" s="193">
        <f>-(SUMIF(C15:AG15,"=调",C16:AG16))</f>
        <v>0</v>
      </c>
      <c r="AJ15" s="193">
        <f>-(SUMIF(C15:AG15,"=病",C16:AG16))</f>
        <v>0</v>
      </c>
      <c r="AK15" s="193">
        <f>-(SUMIF(C15:AG15,"=事",C16:AG16))</f>
        <v>0</v>
      </c>
      <c r="AL15" s="71">
        <f>SUMIF(C4:AG4,"P",C15:AG16)</f>
        <v>18</v>
      </c>
      <c r="AM15" s="46">
        <f>SUMIF(C4:AG4,"S",C15:AG16)</f>
        <v>76.5</v>
      </c>
      <c r="AN15" s="78">
        <f>SUMIF(C4:AG4,"G",C15:AG16)</f>
        <v>6</v>
      </c>
      <c r="AO15" s="167">
        <f>AH15+'2026-04'!AO15</f>
        <v>8</v>
      </c>
      <c r="AP15" s="195"/>
    </row>
    <row r="16" spans="1:42" s="1" customFormat="1" ht="15.95" customHeight="1">
      <c r="A16" s="185"/>
      <c r="B16" s="186"/>
      <c r="C16" s="237"/>
      <c r="D16" s="237"/>
      <c r="E16" s="237"/>
      <c r="F16" s="276"/>
      <c r="G16" s="277"/>
      <c r="H16" s="198"/>
      <c r="I16" s="198"/>
      <c r="J16" s="198"/>
      <c r="K16" s="198"/>
      <c r="L16" s="276"/>
      <c r="M16" s="198"/>
      <c r="N16" s="198"/>
      <c r="O16" s="198"/>
      <c r="P16" s="198"/>
      <c r="Q16" s="198"/>
      <c r="R16" s="276"/>
      <c r="S16" s="276"/>
      <c r="T16" s="198"/>
      <c r="U16" s="198"/>
      <c r="V16" s="198"/>
      <c r="W16" s="198"/>
      <c r="X16" s="198"/>
      <c r="Y16" s="276"/>
      <c r="Z16" s="276"/>
      <c r="AA16" s="198"/>
      <c r="AB16" s="198"/>
      <c r="AC16" s="198"/>
      <c r="AD16" s="198"/>
      <c r="AE16" s="15"/>
      <c r="AF16" s="276"/>
      <c r="AG16" s="276"/>
      <c r="AH16" s="180"/>
      <c r="AI16" s="194"/>
      <c r="AJ16" s="194"/>
      <c r="AK16" s="194"/>
      <c r="AL16" s="190">
        <f>IF(SUM(C15:AG15)-AI15=0,"√",SUM(C15:AG15)-AI15)</f>
        <v>100.5</v>
      </c>
      <c r="AM16" s="191"/>
      <c r="AN16" s="200"/>
      <c r="AO16" s="168"/>
      <c r="AP16" s="239"/>
    </row>
    <row r="17" spans="1:42" s="1" customFormat="1" ht="15.95" customHeight="1">
      <c r="A17" s="182">
        <v>7</v>
      </c>
      <c r="B17" s="183" t="s">
        <v>8</v>
      </c>
      <c r="C17" s="60"/>
      <c r="D17" s="238"/>
      <c r="E17" s="238"/>
      <c r="F17" s="277"/>
      <c r="G17" s="273"/>
      <c r="H17" s="197"/>
      <c r="I17" s="197"/>
      <c r="J17" s="197"/>
      <c r="K17" s="16"/>
      <c r="L17" s="109"/>
      <c r="M17" s="16"/>
      <c r="N17" s="16"/>
      <c r="O17" s="16"/>
      <c r="P17" s="16"/>
      <c r="Q17" s="16"/>
      <c r="R17" s="273"/>
      <c r="S17" s="109"/>
      <c r="T17" s="197"/>
      <c r="U17" s="197"/>
      <c r="V17" s="204"/>
      <c r="W17" s="204"/>
      <c r="X17" s="204"/>
      <c r="Y17" s="273"/>
      <c r="Z17" s="273"/>
      <c r="AA17" s="16"/>
      <c r="AB17" s="16"/>
      <c r="AC17" s="16"/>
      <c r="AD17" s="16"/>
      <c r="AE17" s="204"/>
      <c r="AF17" s="109"/>
      <c r="AG17" s="109"/>
      <c r="AH17" s="164">
        <f>-(SUMIF(C17:AG17,"=年",C18:AG18))</f>
        <v>0</v>
      </c>
      <c r="AI17" s="166">
        <f>-(SUMIF(C17:AG17,"=调",C18:AG18))</f>
        <v>0</v>
      </c>
      <c r="AJ17" s="166">
        <f>-(SUMIF(C17:AG17,"=病",C18:AG18))</f>
        <v>0</v>
      </c>
      <c r="AK17" s="166">
        <f>-(SUMIF(C17:AG17,"=事",C18:AG18))</f>
        <v>0</v>
      </c>
      <c r="AL17" s="72">
        <f>SUMIF(C4:AG4,"P",C17:AG18)</f>
        <v>0</v>
      </c>
      <c r="AM17" s="68">
        <f>SUMIF(C4:AG4,"S",C17:AG18)</f>
        <v>0</v>
      </c>
      <c r="AN17" s="79">
        <f>SUMIF(C4:AG4,"G",C17:AG18)</f>
        <v>0</v>
      </c>
      <c r="AO17" s="167">
        <f>AH17+'2026-04'!AO17</f>
        <v>13</v>
      </c>
      <c r="AP17" s="170"/>
    </row>
    <row r="18" spans="1:42" s="1" customFormat="1" ht="15.95" customHeight="1">
      <c r="A18" s="175"/>
      <c r="B18" s="177"/>
      <c r="C18" s="60"/>
      <c r="D18" s="238"/>
      <c r="E18" s="238"/>
      <c r="F18" s="277"/>
      <c r="G18" s="276"/>
      <c r="H18" s="198"/>
      <c r="I18" s="198"/>
      <c r="J18" s="198"/>
      <c r="K18" s="16"/>
      <c r="L18" s="109"/>
      <c r="M18" s="16"/>
      <c r="N18" s="16"/>
      <c r="O18" s="16"/>
      <c r="P18" s="16"/>
      <c r="Q18" s="16"/>
      <c r="R18" s="273"/>
      <c r="S18" s="109"/>
      <c r="T18" s="198"/>
      <c r="U18" s="198"/>
      <c r="V18" s="204"/>
      <c r="W18" s="204"/>
      <c r="X18" s="204"/>
      <c r="Y18" s="273"/>
      <c r="Z18" s="273"/>
      <c r="AA18" s="16"/>
      <c r="AB18" s="16"/>
      <c r="AC18" s="16"/>
      <c r="AD18" s="16"/>
      <c r="AE18" s="204"/>
      <c r="AF18" s="109"/>
      <c r="AG18" s="109"/>
      <c r="AH18" s="164"/>
      <c r="AI18" s="166"/>
      <c r="AJ18" s="166"/>
      <c r="AK18" s="166"/>
      <c r="AL18" s="171" t="str">
        <f>IF(SUM(C17:AG17)-AI17=0,"√",SUM(C17:AG17)-AI17)</f>
        <v>√</v>
      </c>
      <c r="AM18" s="172"/>
      <c r="AN18" s="173"/>
      <c r="AO18" s="168"/>
      <c r="AP18" s="170"/>
    </row>
    <row r="19" spans="1:42" s="1" customFormat="1" ht="15.95" customHeight="1">
      <c r="A19" s="185">
        <v>8</v>
      </c>
      <c r="B19" s="186" t="s">
        <v>9</v>
      </c>
      <c r="C19" s="236"/>
      <c r="D19" s="42"/>
      <c r="E19" s="236"/>
      <c r="F19" s="275">
        <v>8.5</v>
      </c>
      <c r="G19" s="277">
        <v>8.5</v>
      </c>
      <c r="H19" s="197"/>
      <c r="I19" s="197"/>
      <c r="J19" s="197"/>
      <c r="K19" s="197"/>
      <c r="L19" s="275">
        <v>8.5</v>
      </c>
      <c r="M19" s="197">
        <v>3</v>
      </c>
      <c r="N19" s="197">
        <v>3</v>
      </c>
      <c r="O19" s="197"/>
      <c r="P19" s="197"/>
      <c r="Q19" s="197">
        <v>3</v>
      </c>
      <c r="R19" s="275">
        <v>8.5</v>
      </c>
      <c r="S19" s="275">
        <v>8.5</v>
      </c>
      <c r="T19" s="119" t="s">
        <v>21</v>
      </c>
      <c r="U19" s="197">
        <v>3</v>
      </c>
      <c r="V19" s="197">
        <v>3</v>
      </c>
      <c r="W19" s="197">
        <v>3</v>
      </c>
      <c r="X19" s="197"/>
      <c r="Y19" s="275">
        <v>8.5</v>
      </c>
      <c r="Z19" s="275">
        <v>8.5</v>
      </c>
      <c r="AA19" s="197"/>
      <c r="AB19" s="197"/>
      <c r="AC19" s="197"/>
      <c r="AD19" s="197">
        <v>3</v>
      </c>
      <c r="AE19" s="11"/>
      <c r="AF19" s="275">
        <v>8.5</v>
      </c>
      <c r="AG19" s="275">
        <v>8.5</v>
      </c>
      <c r="AH19" s="189">
        <f>-(SUMIF(C19:AG19,"=年",C20:AG20))</f>
        <v>6.5</v>
      </c>
      <c r="AI19" s="193">
        <f>-(SUMIF(C19:AG19,"=调",C20:AG20))</f>
        <v>0</v>
      </c>
      <c r="AJ19" s="193">
        <f>-(SUMIF(C19:AG19,"=病",C20:AG20))</f>
        <v>0</v>
      </c>
      <c r="AK19" s="193">
        <f>-(SUMIF(C19:AG19,"=事",C20:AG20))</f>
        <v>0</v>
      </c>
      <c r="AL19" s="71">
        <f>SUMIF(C4:AG4,"P",C19:AG20)</f>
        <v>21</v>
      </c>
      <c r="AM19" s="46">
        <f>SUMIF(C4:AG4,"S",C19:AG20)</f>
        <v>76.5</v>
      </c>
      <c r="AN19" s="78">
        <f>SUMIF(C4:AG4,"G",C19:AG20)</f>
        <v>0</v>
      </c>
      <c r="AO19" s="167">
        <f>AH19+'2026-04'!AO19</f>
        <v>6.5</v>
      </c>
      <c r="AP19" s="278" t="s">
        <v>47</v>
      </c>
    </row>
    <row r="20" spans="1:42" s="1" customFormat="1" ht="15.95" customHeight="1">
      <c r="A20" s="185"/>
      <c r="B20" s="186"/>
      <c r="C20" s="237"/>
      <c r="D20" s="41"/>
      <c r="E20" s="237"/>
      <c r="F20" s="276"/>
      <c r="G20" s="277"/>
      <c r="H20" s="198"/>
      <c r="I20" s="198"/>
      <c r="J20" s="198"/>
      <c r="K20" s="198"/>
      <c r="L20" s="276"/>
      <c r="M20" s="198"/>
      <c r="N20" s="198"/>
      <c r="O20" s="198"/>
      <c r="P20" s="198"/>
      <c r="Q20" s="198"/>
      <c r="R20" s="276"/>
      <c r="S20" s="276"/>
      <c r="T20" s="120">
        <v>-6.5</v>
      </c>
      <c r="U20" s="198"/>
      <c r="V20" s="198"/>
      <c r="W20" s="198"/>
      <c r="X20" s="198"/>
      <c r="Y20" s="276"/>
      <c r="Z20" s="276"/>
      <c r="AA20" s="198"/>
      <c r="AB20" s="198"/>
      <c r="AC20" s="198"/>
      <c r="AD20" s="198"/>
      <c r="AE20" s="16"/>
      <c r="AF20" s="276"/>
      <c r="AG20" s="276"/>
      <c r="AH20" s="180"/>
      <c r="AI20" s="194"/>
      <c r="AJ20" s="194"/>
      <c r="AK20" s="194"/>
      <c r="AL20" s="190">
        <f>IF(SUM(C19:AG19)-AI19=0,"√",SUM(C19:AG19)-AI19)</f>
        <v>97.5</v>
      </c>
      <c r="AM20" s="191"/>
      <c r="AN20" s="200"/>
      <c r="AO20" s="168"/>
      <c r="AP20" s="279"/>
    </row>
    <row r="21" spans="1:42" s="1" customFormat="1" ht="15.95" customHeight="1">
      <c r="A21" s="182">
        <v>9</v>
      </c>
      <c r="B21" s="183" t="s">
        <v>11</v>
      </c>
      <c r="C21" s="236"/>
      <c r="D21" s="236"/>
      <c r="E21" s="236">
        <v>5</v>
      </c>
      <c r="F21" s="275">
        <v>8.5</v>
      </c>
      <c r="G21" s="277">
        <v>8.5</v>
      </c>
      <c r="H21" s="197"/>
      <c r="I21" s="197"/>
      <c r="J21" s="197"/>
      <c r="K21" s="54" t="s">
        <v>21</v>
      </c>
      <c r="L21" s="275">
        <v>8.5</v>
      </c>
      <c r="M21" s="197">
        <v>3</v>
      </c>
      <c r="N21" s="197">
        <v>3</v>
      </c>
      <c r="O21" s="234">
        <v>3</v>
      </c>
      <c r="P21" s="197"/>
      <c r="Q21" s="197"/>
      <c r="R21" s="275">
        <v>8.5</v>
      </c>
      <c r="S21" s="275">
        <v>8.5</v>
      </c>
      <c r="T21" s="197"/>
      <c r="U21" s="197">
        <v>3</v>
      </c>
      <c r="V21" s="197">
        <v>3</v>
      </c>
      <c r="W21" s="197">
        <v>3</v>
      </c>
      <c r="X21" s="197">
        <v>3</v>
      </c>
      <c r="Y21" s="275">
        <v>8.5</v>
      </c>
      <c r="Z21" s="275">
        <v>8.5</v>
      </c>
      <c r="AA21" s="197"/>
      <c r="AB21" s="197"/>
      <c r="AC21" s="197"/>
      <c r="AD21" s="197">
        <v>3</v>
      </c>
      <c r="AE21" s="197"/>
      <c r="AF21" s="275">
        <v>8.5</v>
      </c>
      <c r="AG21" s="275">
        <v>8.5</v>
      </c>
      <c r="AH21" s="164">
        <f>-(SUMIF(C21:AG21,"=年",C22:AG22))</f>
        <v>2</v>
      </c>
      <c r="AI21" s="166">
        <f>-(SUMIF(C21:AG21,"=调",C22:AG22))</f>
        <v>0</v>
      </c>
      <c r="AJ21" s="166">
        <f>-(SUMIF(C21:AG21,"=病",C22:AG22))</f>
        <v>0</v>
      </c>
      <c r="AK21" s="166">
        <f>-(SUMIF(C21:AG21,"=事",C22:AG22))</f>
        <v>0</v>
      </c>
      <c r="AL21" s="72">
        <f>SUMIF(C4:AG4,"P",C21:AG22)</f>
        <v>24</v>
      </c>
      <c r="AM21" s="68">
        <f>SUMIF(C4:AG4,"S",C21:AG22)</f>
        <v>76.5</v>
      </c>
      <c r="AN21" s="79">
        <f>SUMIF(C4:AG4,"G",C21:AG22)</f>
        <v>5</v>
      </c>
      <c r="AO21" s="167">
        <f>AH21+'2026-04'!AO21</f>
        <v>4</v>
      </c>
      <c r="AP21" s="201"/>
    </row>
    <row r="22" spans="1:42" s="1" customFormat="1" ht="15.95" customHeight="1">
      <c r="A22" s="175"/>
      <c r="B22" s="177"/>
      <c r="C22" s="237"/>
      <c r="D22" s="237"/>
      <c r="E22" s="237"/>
      <c r="F22" s="276"/>
      <c r="G22" s="277"/>
      <c r="H22" s="198"/>
      <c r="I22" s="198"/>
      <c r="J22" s="198"/>
      <c r="K22" s="54">
        <v>-2</v>
      </c>
      <c r="L22" s="276"/>
      <c r="M22" s="198"/>
      <c r="N22" s="198"/>
      <c r="O22" s="235"/>
      <c r="P22" s="198"/>
      <c r="Q22" s="198"/>
      <c r="R22" s="276"/>
      <c r="S22" s="276"/>
      <c r="T22" s="198"/>
      <c r="U22" s="198"/>
      <c r="V22" s="198"/>
      <c r="W22" s="198"/>
      <c r="X22" s="198"/>
      <c r="Y22" s="276"/>
      <c r="Z22" s="276"/>
      <c r="AA22" s="198"/>
      <c r="AB22" s="198"/>
      <c r="AC22" s="198"/>
      <c r="AD22" s="198"/>
      <c r="AE22" s="198"/>
      <c r="AF22" s="276"/>
      <c r="AG22" s="276"/>
      <c r="AH22" s="164"/>
      <c r="AI22" s="166"/>
      <c r="AJ22" s="166"/>
      <c r="AK22" s="166"/>
      <c r="AL22" s="171">
        <f>IF(SUM(C21:AG21)-AI21=0,"√",SUM(C21:AG21)-AI21)</f>
        <v>105.5</v>
      </c>
      <c r="AM22" s="172"/>
      <c r="AN22" s="173"/>
      <c r="AO22" s="168"/>
      <c r="AP22" s="201"/>
    </row>
    <row r="23" spans="1:42" s="1" customFormat="1" ht="15.95" customHeight="1">
      <c r="A23" s="185">
        <v>10</v>
      </c>
      <c r="B23" s="186" t="s">
        <v>12</v>
      </c>
      <c r="C23" s="236">
        <v>3</v>
      </c>
      <c r="D23" s="236"/>
      <c r="E23" s="236"/>
      <c r="F23" s="275">
        <v>8.5</v>
      </c>
      <c r="G23" s="277">
        <v>8.5</v>
      </c>
      <c r="H23" s="197"/>
      <c r="I23" s="197"/>
      <c r="J23" s="18" t="s">
        <v>21</v>
      </c>
      <c r="K23" s="11"/>
      <c r="L23" s="275">
        <v>8.5</v>
      </c>
      <c r="M23" s="197">
        <v>3</v>
      </c>
      <c r="N23" s="197">
        <v>3</v>
      </c>
      <c r="O23" s="197"/>
      <c r="P23" s="11"/>
      <c r="Q23" s="197">
        <v>3</v>
      </c>
      <c r="R23" s="275">
        <v>8.5</v>
      </c>
      <c r="S23" s="275">
        <v>8.5</v>
      </c>
      <c r="T23" s="197"/>
      <c r="U23" s="197">
        <v>3</v>
      </c>
      <c r="V23" s="197">
        <v>3</v>
      </c>
      <c r="W23" s="197">
        <v>3</v>
      </c>
      <c r="X23" s="197"/>
      <c r="Y23" s="275">
        <v>8.5</v>
      </c>
      <c r="Z23" s="275">
        <v>8.5</v>
      </c>
      <c r="AA23" s="197"/>
      <c r="AB23" s="197"/>
      <c r="AC23" s="197"/>
      <c r="AD23" s="197">
        <v>3</v>
      </c>
      <c r="AE23" s="204"/>
      <c r="AF23" s="275">
        <v>8.5</v>
      </c>
      <c r="AG23" s="275">
        <v>8.5</v>
      </c>
      <c r="AH23" s="189">
        <f>-(SUMIF(C23:AG23,"=年",C24:AG24))</f>
        <v>8</v>
      </c>
      <c r="AI23" s="193">
        <f>-(SUMIF(C23:AG23,"=调",C24:AG24))</f>
        <v>0</v>
      </c>
      <c r="AJ23" s="193">
        <f>-(SUMIF(C23:AG23,"=病",C24:AG24))</f>
        <v>0</v>
      </c>
      <c r="AK23" s="193">
        <f>-(SUMIF(C23:AG23,"=事",C24:AG24))</f>
        <v>0</v>
      </c>
      <c r="AL23" s="71">
        <f>SUMIF(C4:AG4,"P",C23:AG24)</f>
        <v>21</v>
      </c>
      <c r="AM23" s="46">
        <f>SUMIF(C4:AG4,"S",C23:AG24)</f>
        <v>76.5</v>
      </c>
      <c r="AN23" s="78">
        <f>SUMIF(C4:AG4,"G",C23:AG24)</f>
        <v>3</v>
      </c>
      <c r="AO23" s="167">
        <f>AH23+'2026-04'!AO23</f>
        <v>11</v>
      </c>
      <c r="AP23" s="217"/>
    </row>
    <row r="24" spans="1:42" s="1" customFormat="1" ht="15.95" customHeight="1">
      <c r="A24" s="185"/>
      <c r="B24" s="186"/>
      <c r="C24" s="237"/>
      <c r="D24" s="237"/>
      <c r="E24" s="237"/>
      <c r="F24" s="276"/>
      <c r="G24" s="277"/>
      <c r="H24" s="198"/>
      <c r="I24" s="198"/>
      <c r="J24" s="50">
        <v>-8</v>
      </c>
      <c r="K24" s="15"/>
      <c r="L24" s="276"/>
      <c r="M24" s="198"/>
      <c r="N24" s="198"/>
      <c r="O24" s="198"/>
      <c r="P24" s="15"/>
      <c r="Q24" s="198"/>
      <c r="R24" s="276"/>
      <c r="S24" s="276"/>
      <c r="T24" s="198"/>
      <c r="U24" s="198"/>
      <c r="V24" s="198"/>
      <c r="W24" s="198"/>
      <c r="X24" s="198"/>
      <c r="Y24" s="276"/>
      <c r="Z24" s="276"/>
      <c r="AA24" s="198"/>
      <c r="AB24" s="198"/>
      <c r="AC24" s="198"/>
      <c r="AD24" s="198"/>
      <c r="AE24" s="204"/>
      <c r="AF24" s="276"/>
      <c r="AG24" s="276"/>
      <c r="AH24" s="180"/>
      <c r="AI24" s="194"/>
      <c r="AJ24" s="194"/>
      <c r="AK24" s="194"/>
      <c r="AL24" s="190">
        <f>IF(SUM(C23:AG23)-AI23=0,"√",SUM(C23:AG23)-AI23)</f>
        <v>100.5</v>
      </c>
      <c r="AM24" s="191"/>
      <c r="AN24" s="200"/>
      <c r="AO24" s="168"/>
      <c r="AP24" s="196"/>
    </row>
    <row r="25" spans="1:42" s="1" customFormat="1" ht="15.95" customHeight="1">
      <c r="A25" s="185">
        <v>11</v>
      </c>
      <c r="B25" s="186" t="s">
        <v>14</v>
      </c>
      <c r="C25" s="236"/>
      <c r="D25" s="236"/>
      <c r="E25" s="236"/>
      <c r="F25" s="275">
        <v>8.5</v>
      </c>
      <c r="G25" s="277">
        <v>8.5</v>
      </c>
      <c r="H25" s="197"/>
      <c r="I25" s="18" t="s">
        <v>21</v>
      </c>
      <c r="J25" s="197"/>
      <c r="K25" s="234"/>
      <c r="L25" s="275">
        <v>8.5</v>
      </c>
      <c r="M25" s="197">
        <v>3</v>
      </c>
      <c r="N25" s="197">
        <v>3</v>
      </c>
      <c r="O25" s="197">
        <v>3</v>
      </c>
      <c r="P25" s="197"/>
      <c r="Q25" s="233"/>
      <c r="R25" s="275">
        <v>8.5</v>
      </c>
      <c r="S25" s="275">
        <v>8.5</v>
      </c>
      <c r="T25" s="197"/>
      <c r="U25" s="197">
        <v>3</v>
      </c>
      <c r="V25" s="197">
        <v>3</v>
      </c>
      <c r="W25" s="197">
        <v>3</v>
      </c>
      <c r="X25" s="197"/>
      <c r="Y25" s="275">
        <v>8.5</v>
      </c>
      <c r="Z25" s="275">
        <v>8.5</v>
      </c>
      <c r="AA25" s="197"/>
      <c r="AB25" s="197"/>
      <c r="AC25" s="197"/>
      <c r="AD25" s="197">
        <v>3</v>
      </c>
      <c r="AE25" s="197"/>
      <c r="AF25" s="275">
        <v>8.5</v>
      </c>
      <c r="AG25" s="275">
        <v>8.5</v>
      </c>
      <c r="AH25" s="189">
        <f>-(SUMIF(C25:AG25,"=年",C26:AG26))</f>
        <v>1</v>
      </c>
      <c r="AI25" s="193">
        <f>-(SUMIF(C25:AG25,"=调",C26:AG26))</f>
        <v>0</v>
      </c>
      <c r="AJ25" s="193">
        <f>-(SUMIF(C25:AG25,"=病",C26:AG26))</f>
        <v>0</v>
      </c>
      <c r="AK25" s="193">
        <f>-(SUMIF(C25:AG25,"=事",C26:AG26))</f>
        <v>0</v>
      </c>
      <c r="AL25" s="71">
        <f>SUMIF(C4:AG4,"P",C25:AG26)</f>
        <v>21</v>
      </c>
      <c r="AM25" s="46">
        <f>SUMIF(C4:AG4,"S",C25:AG26)</f>
        <v>76.5</v>
      </c>
      <c r="AN25" s="78">
        <f>SUMIF(C4:AG4,"G",C25:AG26)</f>
        <v>0</v>
      </c>
      <c r="AO25" s="167">
        <f>AH25+'2026-04'!AO25</f>
        <v>33</v>
      </c>
      <c r="AP25" s="217"/>
    </row>
    <row r="26" spans="1:42" s="1" customFormat="1" ht="15.95" customHeight="1">
      <c r="A26" s="185"/>
      <c r="B26" s="186"/>
      <c r="C26" s="237"/>
      <c r="D26" s="237"/>
      <c r="E26" s="237"/>
      <c r="F26" s="276"/>
      <c r="G26" s="277"/>
      <c r="H26" s="198"/>
      <c r="I26" s="50">
        <v>-1</v>
      </c>
      <c r="J26" s="198"/>
      <c r="K26" s="235"/>
      <c r="L26" s="276"/>
      <c r="M26" s="198"/>
      <c r="N26" s="198"/>
      <c r="O26" s="198"/>
      <c r="P26" s="198"/>
      <c r="Q26" s="233"/>
      <c r="R26" s="276"/>
      <c r="S26" s="276"/>
      <c r="T26" s="198"/>
      <c r="U26" s="198"/>
      <c r="V26" s="198"/>
      <c r="W26" s="198"/>
      <c r="X26" s="198"/>
      <c r="Y26" s="276"/>
      <c r="Z26" s="276"/>
      <c r="AA26" s="198"/>
      <c r="AB26" s="198"/>
      <c r="AC26" s="198"/>
      <c r="AD26" s="198"/>
      <c r="AE26" s="198"/>
      <c r="AF26" s="276"/>
      <c r="AG26" s="276"/>
      <c r="AH26" s="180"/>
      <c r="AI26" s="194"/>
      <c r="AJ26" s="194"/>
      <c r="AK26" s="194"/>
      <c r="AL26" s="190">
        <f>IF(SUM(C25:AG25)-AI25=0,"√",SUM(C25:AG25)-AI25)</f>
        <v>97.5</v>
      </c>
      <c r="AM26" s="191"/>
      <c r="AN26" s="200"/>
      <c r="AO26" s="168"/>
      <c r="AP26" s="196"/>
    </row>
    <row r="27" spans="1:42" s="1" customFormat="1" ht="15.95" customHeight="1">
      <c r="A27" s="182">
        <v>12</v>
      </c>
      <c r="B27" s="183" t="s">
        <v>34</v>
      </c>
      <c r="C27" s="60"/>
      <c r="D27" s="238"/>
      <c r="E27" s="42"/>
      <c r="F27" s="275"/>
      <c r="G27" s="275"/>
      <c r="H27" s="16"/>
      <c r="I27" s="16" t="s">
        <v>21</v>
      </c>
      <c r="J27" s="16"/>
      <c r="K27" s="16"/>
      <c r="L27" s="275"/>
      <c r="M27" s="16"/>
      <c r="N27" s="16"/>
      <c r="O27" s="16" t="s">
        <v>21</v>
      </c>
      <c r="P27" s="197"/>
      <c r="Q27" s="204"/>
      <c r="R27" s="273"/>
      <c r="S27" s="109"/>
      <c r="T27" s="16"/>
      <c r="U27" s="16"/>
      <c r="V27" s="204"/>
      <c r="W27" s="16"/>
      <c r="X27" s="16"/>
      <c r="Y27" s="275"/>
      <c r="Z27" s="275">
        <v>5</v>
      </c>
      <c r="AA27" s="197">
        <v>4.5</v>
      </c>
      <c r="AB27" s="197">
        <v>0.5</v>
      </c>
      <c r="AC27" s="11"/>
      <c r="AD27" s="16"/>
      <c r="AE27" s="16"/>
      <c r="AF27" s="273"/>
      <c r="AG27" s="273"/>
      <c r="AH27" s="164">
        <f>-(SUMIF(C27:AG27,"=年",C28:AG28))</f>
        <v>6.5</v>
      </c>
      <c r="AI27" s="166">
        <f>-(SUMIF(C27:AG27,"=调",C28:AG28))</f>
        <v>0</v>
      </c>
      <c r="AJ27" s="166">
        <f>-(SUMIF(C27:AG27,"=病",C28:AG28))</f>
        <v>0</v>
      </c>
      <c r="AK27" s="166">
        <f>-(SUMIF(C27:AG27,"=事",C28:AG28))</f>
        <v>0</v>
      </c>
      <c r="AL27" s="72">
        <f>SUMIF(C4:AG4,"P",C27:AG28)</f>
        <v>5</v>
      </c>
      <c r="AM27" s="68">
        <f>SUMIF(C4:AG4,"S",C27:AG28)-AI27</f>
        <v>5</v>
      </c>
      <c r="AN27" s="79">
        <f>SUMIF(C4:AG4,"G",C27:AG28)</f>
        <v>0</v>
      </c>
      <c r="AO27" s="167">
        <f>AH27+'2026-04'!AO27</f>
        <v>49.5</v>
      </c>
      <c r="AP27" s="217"/>
    </row>
    <row r="28" spans="1:42" s="1" customFormat="1" ht="15.95" customHeight="1" thickBot="1">
      <c r="A28" s="231"/>
      <c r="B28" s="232"/>
      <c r="C28" s="33"/>
      <c r="D28" s="271"/>
      <c r="E28" s="43"/>
      <c r="F28" s="280"/>
      <c r="G28" s="280"/>
      <c r="H28" s="39"/>
      <c r="I28" s="39">
        <v>-2.5</v>
      </c>
      <c r="J28" s="39"/>
      <c r="K28" s="39"/>
      <c r="L28" s="280"/>
      <c r="M28" s="39"/>
      <c r="N28" s="39"/>
      <c r="O28" s="39">
        <v>-4</v>
      </c>
      <c r="P28" s="227"/>
      <c r="Q28" s="227"/>
      <c r="R28" s="280"/>
      <c r="S28" s="112"/>
      <c r="T28" s="39"/>
      <c r="U28" s="39"/>
      <c r="V28" s="227"/>
      <c r="W28" s="39"/>
      <c r="X28" s="39"/>
      <c r="Y28" s="280"/>
      <c r="Z28" s="280"/>
      <c r="AA28" s="227"/>
      <c r="AB28" s="227"/>
      <c r="AC28" s="39"/>
      <c r="AD28" s="39"/>
      <c r="AE28" s="39"/>
      <c r="AF28" s="280"/>
      <c r="AG28" s="280"/>
      <c r="AH28" s="223"/>
      <c r="AI28" s="211"/>
      <c r="AJ28" s="211"/>
      <c r="AK28" s="211"/>
      <c r="AL28" s="213">
        <f>IF(SUM(C27:AG27)-AI27=0,"√",SUM(C27:AG27)-AI27)</f>
        <v>10</v>
      </c>
      <c r="AM28" s="214"/>
      <c r="AN28" s="215"/>
      <c r="AO28" s="168"/>
      <c r="AP28" s="226"/>
    </row>
    <row r="29" spans="1:42" ht="37.15" customHeight="1">
      <c r="A29" s="216" t="s">
        <v>31</v>
      </c>
      <c r="B29" s="216"/>
      <c r="C29" s="216"/>
      <c r="D29" s="216"/>
      <c r="E29" s="216"/>
      <c r="F29" s="216"/>
      <c r="G29" s="216"/>
      <c r="H29" s="216"/>
      <c r="I29" s="216"/>
      <c r="J29" s="216"/>
      <c r="K29" s="216"/>
      <c r="L29" s="216"/>
      <c r="M29" s="216"/>
      <c r="N29" s="216"/>
      <c r="O29" s="216"/>
      <c r="P29" s="216"/>
      <c r="Q29" s="216"/>
      <c r="R29" s="216"/>
      <c r="S29" s="216"/>
      <c r="T29" s="216"/>
      <c r="U29" s="216"/>
      <c r="V29" s="216"/>
      <c r="W29" s="216"/>
      <c r="X29" s="216"/>
      <c r="Y29" s="216"/>
      <c r="Z29" s="216"/>
      <c r="AA29" s="216"/>
      <c r="AB29" s="216"/>
      <c r="AC29" s="216"/>
      <c r="AD29" s="216"/>
      <c r="AE29" s="216"/>
      <c r="AF29" s="216"/>
      <c r="AG29" s="216"/>
      <c r="AH29" s="216"/>
      <c r="AI29" s="216"/>
      <c r="AJ29" s="216"/>
      <c r="AK29" s="216"/>
      <c r="AL29" s="216"/>
      <c r="AM29" s="216"/>
      <c r="AN29" s="216"/>
      <c r="AO29" s="216"/>
      <c r="AP29" s="216"/>
    </row>
    <row r="30" spans="1:42" ht="34.9" customHeight="1">
      <c r="A30" s="3" t="s">
        <v>13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P30" s="3"/>
      <c r="Q30" s="3"/>
      <c r="R30" s="3"/>
      <c r="S30" s="3" t="s">
        <v>23</v>
      </c>
      <c r="T30" s="3"/>
      <c r="U30" s="3"/>
      <c r="V30" s="3"/>
      <c r="W30" s="3"/>
      <c r="X30" s="3"/>
      <c r="Y30" s="3"/>
      <c r="Z30" s="3"/>
      <c r="AA30" s="3"/>
      <c r="AB30" s="3"/>
      <c r="AD30" s="3"/>
      <c r="AE30" s="3"/>
      <c r="AG30" s="4"/>
      <c r="AI30" s="4"/>
      <c r="AJ30" s="3" t="s">
        <v>10</v>
      </c>
      <c r="AK30" s="4"/>
      <c r="AL30" s="4"/>
      <c r="AM30" s="4"/>
      <c r="AN30" s="4"/>
      <c r="AO30" s="4"/>
      <c r="AP30" s="4"/>
    </row>
    <row r="31" spans="1:4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</row>
  </sheetData>
  <mergeCells count="388">
    <mergeCell ref="AG25:AG26"/>
    <mergeCell ref="V25:V26"/>
    <mergeCell ref="L25:L26"/>
    <mergeCell ref="M25:M26"/>
    <mergeCell ref="N25:N26"/>
    <mergeCell ref="AJ25:AJ26"/>
    <mergeCell ref="AK25:AK26"/>
    <mergeCell ref="AO25:AO26"/>
    <mergeCell ref="AP25:AP26"/>
    <mergeCell ref="AL26:AN26"/>
    <mergeCell ref="AC25:AC26"/>
    <mergeCell ref="AD25:AD26"/>
    <mergeCell ref="AE25:AE26"/>
    <mergeCell ref="AF25:AF26"/>
    <mergeCell ref="AH25:AH26"/>
    <mergeCell ref="AI25:AI26"/>
    <mergeCell ref="W25:W26"/>
    <mergeCell ref="X25:X26"/>
    <mergeCell ref="Y25:Y26"/>
    <mergeCell ref="Z25:Z26"/>
    <mergeCell ref="AA25:AA26"/>
    <mergeCell ref="R25:R26"/>
    <mergeCell ref="T25:T26"/>
    <mergeCell ref="U25:U26"/>
    <mergeCell ref="A29:AP29"/>
    <mergeCell ref="AF27:AF28"/>
    <mergeCell ref="AG27:AG28"/>
    <mergeCell ref="AH27:AH28"/>
    <mergeCell ref="AI27:AI28"/>
    <mergeCell ref="AJ27:AJ28"/>
    <mergeCell ref="AK27:AK28"/>
    <mergeCell ref="L27:L28"/>
    <mergeCell ref="P27:P28"/>
    <mergeCell ref="Q27:Q28"/>
    <mergeCell ref="R27:R28"/>
    <mergeCell ref="V27:V28"/>
    <mergeCell ref="Y27:Y28"/>
    <mergeCell ref="Z27:Z28"/>
    <mergeCell ref="AA27:AA28"/>
    <mergeCell ref="AB27:AB28"/>
    <mergeCell ref="A27:A28"/>
    <mergeCell ref="B27:B28"/>
    <mergeCell ref="D27:D28"/>
    <mergeCell ref="F27:F28"/>
    <mergeCell ref="G27:G28"/>
    <mergeCell ref="AO27:AO28"/>
    <mergeCell ref="AP27:AP28"/>
    <mergeCell ref="AL28:AN28"/>
    <mergeCell ref="A25:A26"/>
    <mergeCell ref="B25:B26"/>
    <mergeCell ref="C25:C26"/>
    <mergeCell ref="D25:D26"/>
    <mergeCell ref="E25:E26"/>
    <mergeCell ref="F25:F26"/>
    <mergeCell ref="G25:G26"/>
    <mergeCell ref="H25:H26"/>
    <mergeCell ref="Q25:Q26"/>
    <mergeCell ref="J25:J26"/>
    <mergeCell ref="K25:K26"/>
    <mergeCell ref="S25:S26"/>
    <mergeCell ref="AB25:AB26"/>
    <mergeCell ref="O25:O26"/>
    <mergeCell ref="P25:P26"/>
    <mergeCell ref="Q23:Q24"/>
    <mergeCell ref="R23:R24"/>
    <mergeCell ref="S23:S24"/>
    <mergeCell ref="T23:T24"/>
    <mergeCell ref="AP23:AP24"/>
    <mergeCell ref="AL24:AN24"/>
    <mergeCell ref="AH23:AH24"/>
    <mergeCell ref="AI23:AI24"/>
    <mergeCell ref="AJ23:AJ24"/>
    <mergeCell ref="AK23:AK24"/>
    <mergeCell ref="AO23:AO24"/>
    <mergeCell ref="AG23:AG24"/>
    <mergeCell ref="AA23:AA24"/>
    <mergeCell ref="AB23:AB24"/>
    <mergeCell ref="AC23:AC24"/>
    <mergeCell ref="AD23:AD24"/>
    <mergeCell ref="AE23:AE24"/>
    <mergeCell ref="AF23:AF24"/>
    <mergeCell ref="U23:U24"/>
    <mergeCell ref="V23:V24"/>
    <mergeCell ref="Y23:Y24"/>
    <mergeCell ref="Z23:Z24"/>
    <mergeCell ref="G23:G24"/>
    <mergeCell ref="H23:H24"/>
    <mergeCell ref="I23:I24"/>
    <mergeCell ref="L23:L24"/>
    <mergeCell ref="M23:M24"/>
    <mergeCell ref="AK21:AK22"/>
    <mergeCell ref="AO21:AO22"/>
    <mergeCell ref="W23:W24"/>
    <mergeCell ref="X23:X24"/>
    <mergeCell ref="N23:N24"/>
    <mergeCell ref="O23:O24"/>
    <mergeCell ref="AP21:AP22"/>
    <mergeCell ref="AL22:AN22"/>
    <mergeCell ref="AH21:AH22"/>
    <mergeCell ref="AI21:AI22"/>
    <mergeCell ref="AJ21:AJ22"/>
    <mergeCell ref="P21:P22"/>
    <mergeCell ref="Q21:Q22"/>
    <mergeCell ref="R21:R22"/>
    <mergeCell ref="G21:G22"/>
    <mergeCell ref="H21:H22"/>
    <mergeCell ref="I21:I22"/>
    <mergeCell ref="J21:J22"/>
    <mergeCell ref="L21:L22"/>
    <mergeCell ref="A23:A24"/>
    <mergeCell ref="B23:B24"/>
    <mergeCell ref="C23:C24"/>
    <mergeCell ref="D23:D24"/>
    <mergeCell ref="E23:E24"/>
    <mergeCell ref="F23:F24"/>
    <mergeCell ref="AE21:AE22"/>
    <mergeCell ref="AF21:AF22"/>
    <mergeCell ref="AG21:AG22"/>
    <mergeCell ref="Y21:Y22"/>
    <mergeCell ref="Z21:Z22"/>
    <mergeCell ref="AA21:AA22"/>
    <mergeCell ref="AB21:AB22"/>
    <mergeCell ref="AC21:AC22"/>
    <mergeCell ref="AD21:AD22"/>
    <mergeCell ref="S21:S22"/>
    <mergeCell ref="T21:T22"/>
    <mergeCell ref="U21:U22"/>
    <mergeCell ref="V21:V22"/>
    <mergeCell ref="W21:W22"/>
    <mergeCell ref="X21:X22"/>
    <mergeCell ref="M21:M22"/>
    <mergeCell ref="N21:N22"/>
    <mergeCell ref="O21:O22"/>
    <mergeCell ref="A21:A22"/>
    <mergeCell ref="B21:B22"/>
    <mergeCell ref="C21:C22"/>
    <mergeCell ref="D21:D22"/>
    <mergeCell ref="E21:E22"/>
    <mergeCell ref="F21:F22"/>
    <mergeCell ref="AH19:AH20"/>
    <mergeCell ref="AI19:AI20"/>
    <mergeCell ref="AJ19:AJ20"/>
    <mergeCell ref="U19:U20"/>
    <mergeCell ref="V19:V20"/>
    <mergeCell ref="W19:W20"/>
    <mergeCell ref="X19:X20"/>
    <mergeCell ref="Y19:Y20"/>
    <mergeCell ref="Z19:Z20"/>
    <mergeCell ref="N19:N20"/>
    <mergeCell ref="O19:O20"/>
    <mergeCell ref="P19:P20"/>
    <mergeCell ref="Q19:Q20"/>
    <mergeCell ref="S19:S20"/>
    <mergeCell ref="H19:H20"/>
    <mergeCell ref="I19:I20"/>
    <mergeCell ref="J19:J20"/>
    <mergeCell ref="R19:R20"/>
    <mergeCell ref="AI17:AI18"/>
    <mergeCell ref="AJ17:AJ18"/>
    <mergeCell ref="AK17:AK18"/>
    <mergeCell ref="AO17:AO18"/>
    <mergeCell ref="AP17:AP18"/>
    <mergeCell ref="AL18:AN18"/>
    <mergeCell ref="W17:W18"/>
    <mergeCell ref="X17:X18"/>
    <mergeCell ref="AE17:AE18"/>
    <mergeCell ref="AH17:AH18"/>
    <mergeCell ref="AK19:AK20"/>
    <mergeCell ref="AO19:AO20"/>
    <mergeCell ref="AP19:AP20"/>
    <mergeCell ref="AL20:AN20"/>
    <mergeCell ref="AA19:AA20"/>
    <mergeCell ref="AB19:AB20"/>
    <mergeCell ref="AC19:AC20"/>
    <mergeCell ref="AD19:AD20"/>
    <mergeCell ref="AF19:AF20"/>
    <mergeCell ref="AG19:AG20"/>
    <mergeCell ref="K19:K20"/>
    <mergeCell ref="L19:L20"/>
    <mergeCell ref="M19:M20"/>
    <mergeCell ref="A19:A20"/>
    <mergeCell ref="B19:B20"/>
    <mergeCell ref="C19:C20"/>
    <mergeCell ref="E19:E20"/>
    <mergeCell ref="F19:F20"/>
    <mergeCell ref="G19:G20"/>
    <mergeCell ref="AO15:AO16"/>
    <mergeCell ref="AP15:AP16"/>
    <mergeCell ref="AL16:AN16"/>
    <mergeCell ref="AH15:AH16"/>
    <mergeCell ref="AI15:AI16"/>
    <mergeCell ref="AJ15:AJ16"/>
    <mergeCell ref="AK15:AK16"/>
    <mergeCell ref="P15:P16"/>
    <mergeCell ref="Q15:Q16"/>
    <mergeCell ref="R15:R16"/>
    <mergeCell ref="AF15:AF16"/>
    <mergeCell ref="AG15:AG16"/>
    <mergeCell ref="Y15:Y16"/>
    <mergeCell ref="Z15:Z16"/>
    <mergeCell ref="AA15:AA16"/>
    <mergeCell ref="AB15:AB16"/>
    <mergeCell ref="AC15:AC16"/>
    <mergeCell ref="AD15:AD16"/>
    <mergeCell ref="S15:S16"/>
    <mergeCell ref="T15:T16"/>
    <mergeCell ref="U15:U16"/>
    <mergeCell ref="V15:V16"/>
    <mergeCell ref="W15:W16"/>
    <mergeCell ref="X15:X16"/>
    <mergeCell ref="A17:A18"/>
    <mergeCell ref="B17:B18"/>
    <mergeCell ref="D17:D18"/>
    <mergeCell ref="E17:E18"/>
    <mergeCell ref="F17:F18"/>
    <mergeCell ref="G17:G18"/>
    <mergeCell ref="H17:H18"/>
    <mergeCell ref="Y17:Y18"/>
    <mergeCell ref="Z17:Z18"/>
    <mergeCell ref="I17:I18"/>
    <mergeCell ref="J17:J18"/>
    <mergeCell ref="R17:R18"/>
    <mergeCell ref="T17:T18"/>
    <mergeCell ref="U17:U18"/>
    <mergeCell ref="V17:V18"/>
    <mergeCell ref="AJ13:AJ14"/>
    <mergeCell ref="AK13:AK14"/>
    <mergeCell ref="AO13:AO14"/>
    <mergeCell ref="W13:W14"/>
    <mergeCell ref="I13:I14"/>
    <mergeCell ref="J13:J14"/>
    <mergeCell ref="L13:L14"/>
    <mergeCell ref="M13:M14"/>
    <mergeCell ref="N13:N14"/>
    <mergeCell ref="AH13:AH14"/>
    <mergeCell ref="AI13:AI14"/>
    <mergeCell ref="X13:X14"/>
    <mergeCell ref="Y13:Y14"/>
    <mergeCell ref="Z13:Z14"/>
    <mergeCell ref="AB13:AB14"/>
    <mergeCell ref="AC13:AC14"/>
    <mergeCell ref="Q13:Q14"/>
    <mergeCell ref="R13:R14"/>
    <mergeCell ref="S13:S14"/>
    <mergeCell ref="T13:T14"/>
    <mergeCell ref="U13:U14"/>
    <mergeCell ref="A15:A16"/>
    <mergeCell ref="B15:B16"/>
    <mergeCell ref="C15:C16"/>
    <mergeCell ref="D15:D16"/>
    <mergeCell ref="E15:E16"/>
    <mergeCell ref="AD13:AD14"/>
    <mergeCell ref="AE13:AE14"/>
    <mergeCell ref="AF13:AF14"/>
    <mergeCell ref="AG13:AG14"/>
    <mergeCell ref="F15:F16"/>
    <mergeCell ref="H15:H16"/>
    <mergeCell ref="I15:I16"/>
    <mergeCell ref="J15:J16"/>
    <mergeCell ref="K15:K16"/>
    <mergeCell ref="L15:L16"/>
    <mergeCell ref="M15:M16"/>
    <mergeCell ref="N15:N16"/>
    <mergeCell ref="O15:O16"/>
    <mergeCell ref="G15:G16"/>
    <mergeCell ref="AP11:AP12"/>
    <mergeCell ref="AL12:AN12"/>
    <mergeCell ref="A13:A14"/>
    <mergeCell ref="B13:B14"/>
    <mergeCell ref="E13:E14"/>
    <mergeCell ref="F13:F14"/>
    <mergeCell ref="G13:G14"/>
    <mergeCell ref="H13:H14"/>
    <mergeCell ref="AE11:AE12"/>
    <mergeCell ref="AF11:AF12"/>
    <mergeCell ref="AG11:AG12"/>
    <mergeCell ref="AH11:AH12"/>
    <mergeCell ref="AI11:AI12"/>
    <mergeCell ref="AJ11:AJ12"/>
    <mergeCell ref="Y11:Y12"/>
    <mergeCell ref="Z11:Z12"/>
    <mergeCell ref="AA11:AA12"/>
    <mergeCell ref="AB11:AB12"/>
    <mergeCell ref="AC11:AC12"/>
    <mergeCell ref="AD11:AD12"/>
    <mergeCell ref="R11:R12"/>
    <mergeCell ref="S11:S12"/>
    <mergeCell ref="AP13:AP14"/>
    <mergeCell ref="AL14:AN14"/>
    <mergeCell ref="AJ9:AJ10"/>
    <mergeCell ref="AK9:AK10"/>
    <mergeCell ref="AO9:AO10"/>
    <mergeCell ref="T11:T12"/>
    <mergeCell ref="U11:U12"/>
    <mergeCell ref="W11:W12"/>
    <mergeCell ref="X11:X12"/>
    <mergeCell ref="L11:L12"/>
    <mergeCell ref="M11:M12"/>
    <mergeCell ref="N11:N12"/>
    <mergeCell ref="O11:O12"/>
    <mergeCell ref="P11:P12"/>
    <mergeCell ref="Q11:Q12"/>
    <mergeCell ref="AK11:AK12"/>
    <mergeCell ref="AO11:AO12"/>
    <mergeCell ref="V11:V12"/>
    <mergeCell ref="AH9:AH10"/>
    <mergeCell ref="AI9:AI10"/>
    <mergeCell ref="A11:A12"/>
    <mergeCell ref="B11:B12"/>
    <mergeCell ref="C11:C12"/>
    <mergeCell ref="D11:D12"/>
    <mergeCell ref="E11:E12"/>
    <mergeCell ref="AB9:AB10"/>
    <mergeCell ref="AE9:AE10"/>
    <mergeCell ref="AF9:AF10"/>
    <mergeCell ref="AG9:AG10"/>
    <mergeCell ref="I9:I10"/>
    <mergeCell ref="L9:L10"/>
    <mergeCell ref="P9:P10"/>
    <mergeCell ref="S9:S10"/>
    <mergeCell ref="T9:T10"/>
    <mergeCell ref="U9:U10"/>
    <mergeCell ref="F11:F12"/>
    <mergeCell ref="G11:G12"/>
    <mergeCell ref="H11:H12"/>
    <mergeCell ref="I11:I12"/>
    <mergeCell ref="J11:J12"/>
    <mergeCell ref="K11:K12"/>
    <mergeCell ref="AJ7:AJ8"/>
    <mergeCell ref="AK7:AK8"/>
    <mergeCell ref="AO7:AO8"/>
    <mergeCell ref="AP7:AP8"/>
    <mergeCell ref="AL8:AN8"/>
    <mergeCell ref="A9:A10"/>
    <mergeCell ref="B9:B10"/>
    <mergeCell ref="D9:D10"/>
    <mergeCell ref="E9:E10"/>
    <mergeCell ref="H9:H10"/>
    <mergeCell ref="T7:T8"/>
    <mergeCell ref="V7:V8"/>
    <mergeCell ref="W7:W8"/>
    <mergeCell ref="AG7:AG8"/>
    <mergeCell ref="AH7:AH8"/>
    <mergeCell ref="AI7:AI8"/>
    <mergeCell ref="L7:L8"/>
    <mergeCell ref="M7:M8"/>
    <mergeCell ref="P7:P8"/>
    <mergeCell ref="Q7:Q8"/>
    <mergeCell ref="R7:R8"/>
    <mergeCell ref="S7:S8"/>
    <mergeCell ref="AP9:AP10"/>
    <mergeCell ref="AL10:AN10"/>
    <mergeCell ref="A7:A8"/>
    <mergeCell ref="B7:B8"/>
    <mergeCell ref="D7:D8"/>
    <mergeCell ref="E7:E8"/>
    <mergeCell ref="I7:I8"/>
    <mergeCell ref="K7:K8"/>
    <mergeCell ref="AB5:AB6"/>
    <mergeCell ref="AC5:AC6"/>
    <mergeCell ref="M5:M6"/>
    <mergeCell ref="N5:N6"/>
    <mergeCell ref="O5:O6"/>
    <mergeCell ref="T5:T6"/>
    <mergeCell ref="Y5:Y6"/>
    <mergeCell ref="Z5:Z6"/>
    <mergeCell ref="A5:A6"/>
    <mergeCell ref="B5:B6"/>
    <mergeCell ref="D5:D6"/>
    <mergeCell ref="E5:E6"/>
    <mergeCell ref="F5:F6"/>
    <mergeCell ref="L5:L6"/>
    <mergeCell ref="AO5:AO6"/>
    <mergeCell ref="AP5:AP6"/>
    <mergeCell ref="AL6:AN6"/>
    <mergeCell ref="AH5:AH6"/>
    <mergeCell ref="AI5:AI6"/>
    <mergeCell ref="AJ5:AJ6"/>
    <mergeCell ref="AK5:AK6"/>
    <mergeCell ref="A1:AP1"/>
    <mergeCell ref="A2:A4"/>
    <mergeCell ref="B2:B4"/>
    <mergeCell ref="C2:AG2"/>
    <mergeCell ref="AH2:AN2"/>
    <mergeCell ref="AO2:AO4"/>
    <mergeCell ref="AP2:AP4"/>
    <mergeCell ref="AH3:AK3"/>
    <mergeCell ref="AL3:AN3"/>
  </mergeCells>
  <phoneticPr fontId="8" type="noConversion"/>
  <pageMargins left="0.25138888888888899" right="0.25138888888888899" top="0.55486111111111103" bottom="0.55486111111111103" header="0.29861111111111099" footer="0.29861111111111099"/>
  <pageSetup paperSize="9" scale="72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1909B-D976-4274-807B-5E4870C69E97}">
  <sheetPr>
    <pageSetUpPr fitToPage="1"/>
  </sheetPr>
  <dimension ref="A1:AP31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O5" sqref="AO5:AO6"/>
    </sheetView>
  </sheetViews>
  <sheetFormatPr defaultColWidth="9" defaultRowHeight="14.25"/>
  <cols>
    <col min="1" max="1" width="6" bestFit="1" customWidth="1"/>
    <col min="2" max="2" width="8.125" customWidth="1"/>
    <col min="3" max="32" width="4.125" customWidth="1"/>
    <col min="33" max="33" width="4.5" bestFit="1" customWidth="1"/>
    <col min="34" max="38" width="5.25" bestFit="1" customWidth="1"/>
    <col min="39" max="39" width="7.125" bestFit="1" customWidth="1"/>
    <col min="40" max="40" width="5.25" customWidth="1"/>
    <col min="41" max="41" width="5.25" bestFit="1" customWidth="1"/>
    <col min="42" max="42" width="17.5" bestFit="1" customWidth="1"/>
  </cols>
  <sheetData>
    <row r="1" spans="1:42" ht="84" customHeight="1" thickBot="1">
      <c r="A1" s="142" t="s">
        <v>15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  <c r="AD1" s="142"/>
      <c r="AE1" s="142"/>
      <c r="AF1" s="142"/>
      <c r="AG1" s="142"/>
      <c r="AH1" s="142"/>
      <c r="AI1" s="142"/>
      <c r="AJ1" s="142"/>
      <c r="AK1" s="142"/>
      <c r="AL1" s="142"/>
      <c r="AM1" s="142"/>
      <c r="AN1" s="142"/>
      <c r="AO1" s="142"/>
      <c r="AP1" s="142"/>
    </row>
    <row r="2" spans="1:42" ht="31.5" customHeight="1">
      <c r="A2" s="143" t="s">
        <v>0</v>
      </c>
      <c r="B2" s="145" t="s">
        <v>1</v>
      </c>
      <c r="C2" s="147" t="s">
        <v>49</v>
      </c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267" t="s">
        <v>39</v>
      </c>
      <c r="AI2" s="268"/>
      <c r="AJ2" s="268"/>
      <c r="AK2" s="268"/>
      <c r="AL2" s="268"/>
      <c r="AM2" s="268"/>
      <c r="AN2" s="269"/>
      <c r="AO2" s="152" t="s">
        <v>16</v>
      </c>
      <c r="AP2" s="155" t="s">
        <v>24</v>
      </c>
    </row>
    <row r="3" spans="1:42">
      <c r="A3" s="144"/>
      <c r="B3" s="146"/>
      <c r="C3" s="80">
        <v>1</v>
      </c>
      <c r="D3" s="80">
        <v>2</v>
      </c>
      <c r="E3" s="51">
        <v>3</v>
      </c>
      <c r="F3" s="51">
        <v>4</v>
      </c>
      <c r="G3" s="51">
        <v>5</v>
      </c>
      <c r="H3" s="47">
        <v>6</v>
      </c>
      <c r="I3" s="47">
        <v>7</v>
      </c>
      <c r="J3" s="51">
        <v>8</v>
      </c>
      <c r="K3" s="51">
        <v>9</v>
      </c>
      <c r="L3" s="51">
        <v>10</v>
      </c>
      <c r="M3" s="51">
        <v>11</v>
      </c>
      <c r="N3" s="51">
        <v>12</v>
      </c>
      <c r="O3" s="47">
        <v>13</v>
      </c>
      <c r="P3" s="47">
        <v>14</v>
      </c>
      <c r="Q3" s="51">
        <v>15</v>
      </c>
      <c r="R3" s="51">
        <v>16</v>
      </c>
      <c r="S3" s="51">
        <v>17</v>
      </c>
      <c r="T3" s="51">
        <v>18</v>
      </c>
      <c r="U3" s="58">
        <v>19</v>
      </c>
      <c r="V3" s="47">
        <v>20</v>
      </c>
      <c r="W3" s="47">
        <v>21</v>
      </c>
      <c r="X3" s="51">
        <v>22</v>
      </c>
      <c r="Y3" s="51">
        <v>23</v>
      </c>
      <c r="Z3" s="51">
        <v>24</v>
      </c>
      <c r="AA3" s="51">
        <v>25</v>
      </c>
      <c r="AB3" s="51">
        <v>26</v>
      </c>
      <c r="AC3" s="47">
        <v>27</v>
      </c>
      <c r="AD3" s="47">
        <v>28</v>
      </c>
      <c r="AE3" s="51">
        <v>29</v>
      </c>
      <c r="AF3" s="51">
        <v>30</v>
      </c>
      <c r="AG3" s="126" t="s">
        <v>48</v>
      </c>
      <c r="AH3" s="160" t="s">
        <v>43</v>
      </c>
      <c r="AI3" s="161"/>
      <c r="AJ3" s="161"/>
      <c r="AK3" s="162"/>
      <c r="AL3" s="160" t="s">
        <v>42</v>
      </c>
      <c r="AM3" s="161"/>
      <c r="AN3" s="162"/>
      <c r="AO3" s="153"/>
      <c r="AP3" s="156"/>
    </row>
    <row r="4" spans="1:42" ht="15" thickBot="1">
      <c r="A4" s="144"/>
      <c r="B4" s="146"/>
      <c r="C4" s="123" t="s">
        <v>29</v>
      </c>
      <c r="D4" s="123" t="s">
        <v>29</v>
      </c>
      <c r="E4" s="123" t="s">
        <v>29</v>
      </c>
      <c r="F4" s="123" t="s">
        <v>29</v>
      </c>
      <c r="G4" s="123" t="s">
        <v>29</v>
      </c>
      <c r="H4" s="124" t="s">
        <v>30</v>
      </c>
      <c r="I4" s="124" t="s">
        <v>30</v>
      </c>
      <c r="J4" s="123" t="s">
        <v>29</v>
      </c>
      <c r="K4" s="123" t="s">
        <v>29</v>
      </c>
      <c r="L4" s="123" t="s">
        <v>29</v>
      </c>
      <c r="M4" s="123" t="s">
        <v>29</v>
      </c>
      <c r="N4" s="123" t="s">
        <v>29</v>
      </c>
      <c r="O4" s="124" t="s">
        <v>30</v>
      </c>
      <c r="P4" s="124" t="s">
        <v>30</v>
      </c>
      <c r="Q4" s="123" t="s">
        <v>29</v>
      </c>
      <c r="R4" s="123" t="s">
        <v>29</v>
      </c>
      <c r="S4" s="123" t="s">
        <v>29</v>
      </c>
      <c r="T4" s="123" t="s">
        <v>29</v>
      </c>
      <c r="U4" s="125" t="s">
        <v>28</v>
      </c>
      <c r="V4" s="124" t="s">
        <v>30</v>
      </c>
      <c r="W4" s="124" t="s">
        <v>30</v>
      </c>
      <c r="X4" s="123" t="s">
        <v>29</v>
      </c>
      <c r="Y4" s="123" t="s">
        <v>29</v>
      </c>
      <c r="Z4" s="123" t="s">
        <v>29</v>
      </c>
      <c r="AA4" s="123" t="s">
        <v>29</v>
      </c>
      <c r="AB4" s="123" t="s">
        <v>29</v>
      </c>
      <c r="AC4" s="124" t="s">
        <v>30</v>
      </c>
      <c r="AD4" s="124" t="s">
        <v>30</v>
      </c>
      <c r="AE4" s="123" t="s">
        <v>29</v>
      </c>
      <c r="AF4" s="123" t="s">
        <v>29</v>
      </c>
      <c r="AG4" s="127" t="s">
        <v>29</v>
      </c>
      <c r="AH4" s="101" t="s">
        <v>38</v>
      </c>
      <c r="AI4" s="102" t="s">
        <v>44</v>
      </c>
      <c r="AJ4" s="102" t="s">
        <v>40</v>
      </c>
      <c r="AK4" s="103" t="s">
        <v>41</v>
      </c>
      <c r="AL4" s="101" t="s">
        <v>26</v>
      </c>
      <c r="AM4" s="102" t="s">
        <v>32</v>
      </c>
      <c r="AN4" s="103" t="s">
        <v>27</v>
      </c>
      <c r="AO4" s="154"/>
      <c r="AP4" s="156"/>
    </row>
    <row r="5" spans="1:42" s="1" customFormat="1" ht="15.95" customHeight="1">
      <c r="A5" s="174">
        <v>1</v>
      </c>
      <c r="B5" s="176" t="s">
        <v>2</v>
      </c>
      <c r="C5" s="66"/>
      <c r="D5" s="66"/>
      <c r="E5" s="64"/>
      <c r="F5" s="64"/>
      <c r="G5" s="64"/>
      <c r="H5" s="65"/>
      <c r="I5" s="65"/>
      <c r="J5" s="64"/>
      <c r="K5" s="64"/>
      <c r="L5" s="64"/>
      <c r="M5" s="64"/>
      <c r="N5" s="64"/>
      <c r="O5" s="65"/>
      <c r="P5" s="65"/>
      <c r="Q5" s="64"/>
      <c r="R5" s="64"/>
      <c r="S5" s="64"/>
      <c r="T5" s="64"/>
      <c r="U5" s="285"/>
      <c r="V5" s="283"/>
      <c r="W5" s="283"/>
      <c r="X5" s="64"/>
      <c r="Y5" s="64"/>
      <c r="Z5" s="64"/>
      <c r="AA5" s="64"/>
      <c r="AB5" s="64"/>
      <c r="AC5" s="65"/>
      <c r="AD5" s="65"/>
      <c r="AE5" s="64"/>
      <c r="AF5" s="64"/>
      <c r="AG5" s="128"/>
      <c r="AH5" s="163">
        <f>-(SUMIF(C5:AG5,"=年",C6:AG6))</f>
        <v>0</v>
      </c>
      <c r="AI5" s="165">
        <f>-(SUMIF(C5:AG5,"=调",C6:AG6))</f>
        <v>0</v>
      </c>
      <c r="AJ5" s="165">
        <f>-(SUMIF(C5:AG5,"=病",C6:AG6))</f>
        <v>0</v>
      </c>
      <c r="AK5" s="165">
        <f>-(SUMIF(C5:AG5,"=事",C6:AG6))</f>
        <v>0</v>
      </c>
      <c r="AL5" s="70">
        <f>SUMIF(C4:AG4,"P",C5:AG6)</f>
        <v>0</v>
      </c>
      <c r="AM5" s="67">
        <f>SUMIF(C4:AG4,"S",C5:AG6)</f>
        <v>0</v>
      </c>
      <c r="AN5" s="77">
        <f>SUMIF(C4:AG4,"G",C5:AG6)</f>
        <v>0</v>
      </c>
      <c r="AO5" s="167">
        <f>AH5+'2026-05'!AO5</f>
        <v>28</v>
      </c>
      <c r="AP5" s="169"/>
    </row>
    <row r="6" spans="1:42" s="1" customFormat="1" ht="15.95" customHeight="1">
      <c r="A6" s="175"/>
      <c r="B6" s="177"/>
      <c r="C6" s="24"/>
      <c r="D6" s="24"/>
      <c r="E6" s="8"/>
      <c r="F6" s="8"/>
      <c r="G6" s="8"/>
      <c r="H6" s="19"/>
      <c r="I6" s="19"/>
      <c r="J6" s="8"/>
      <c r="K6" s="8"/>
      <c r="L6" s="8"/>
      <c r="M6" s="8"/>
      <c r="N6" s="8"/>
      <c r="O6" s="19"/>
      <c r="P6" s="19"/>
      <c r="Q6" s="8"/>
      <c r="R6" s="8"/>
      <c r="S6" s="8"/>
      <c r="T6" s="8"/>
      <c r="U6" s="286"/>
      <c r="V6" s="284"/>
      <c r="W6" s="284"/>
      <c r="X6" s="8"/>
      <c r="Y6" s="8"/>
      <c r="Z6" s="8"/>
      <c r="AA6" s="8"/>
      <c r="AB6" s="8"/>
      <c r="AC6" s="19"/>
      <c r="AD6" s="19"/>
      <c r="AE6" s="8"/>
      <c r="AF6" s="8"/>
      <c r="AG6" s="129"/>
      <c r="AH6" s="164"/>
      <c r="AI6" s="166"/>
      <c r="AJ6" s="166"/>
      <c r="AK6" s="166"/>
      <c r="AL6" s="171" t="str">
        <f>IF(SUM(C5:AG5)-AI5=0,"√",SUM(C5:AG5)-AI5)</f>
        <v>√</v>
      </c>
      <c r="AM6" s="172"/>
      <c r="AN6" s="173"/>
      <c r="AO6" s="168"/>
      <c r="AP6" s="170"/>
    </row>
    <row r="7" spans="1:42" s="1" customFormat="1" ht="15.95" customHeight="1">
      <c r="A7" s="185">
        <v>2</v>
      </c>
      <c r="B7" s="186" t="s">
        <v>3</v>
      </c>
      <c r="C7" s="29"/>
      <c r="D7" s="29"/>
      <c r="E7" s="12"/>
      <c r="F7" s="12"/>
      <c r="G7" s="12"/>
      <c r="H7" s="27"/>
      <c r="I7" s="27"/>
      <c r="J7" s="14" t="s">
        <v>21</v>
      </c>
      <c r="K7" s="14" t="s">
        <v>21</v>
      </c>
      <c r="L7" s="12"/>
      <c r="M7" s="12"/>
      <c r="N7" s="12"/>
      <c r="O7" s="27"/>
      <c r="P7" s="27"/>
      <c r="Q7" s="12"/>
      <c r="R7" s="12"/>
      <c r="S7" s="12"/>
      <c r="T7" s="12"/>
      <c r="U7" s="32"/>
      <c r="V7" s="27"/>
      <c r="W7" s="27"/>
      <c r="X7" s="12"/>
      <c r="Y7" s="12"/>
      <c r="Z7" s="12"/>
      <c r="AA7" s="12"/>
      <c r="AB7" s="12"/>
      <c r="AC7" s="27"/>
      <c r="AD7" s="27"/>
      <c r="AE7" s="14" t="s">
        <v>21</v>
      </c>
      <c r="AF7" s="12"/>
      <c r="AG7" s="187">
        <v>2.5</v>
      </c>
      <c r="AH7" s="189">
        <f>-(SUMIF(C7:AG7,"=年",C8:AG8))</f>
        <v>24</v>
      </c>
      <c r="AI7" s="193">
        <f>-(SUMIF(C7:AG7,"=调",C8:AG8))</f>
        <v>0</v>
      </c>
      <c r="AJ7" s="193">
        <f>-(SUMIF(C7:AG7,"=病",C8:AG8))</f>
        <v>0</v>
      </c>
      <c r="AK7" s="193">
        <f>-(SUMIF(C7:AG7,"=事",C8:AG8))</f>
        <v>0</v>
      </c>
      <c r="AL7" s="71">
        <f>SUMIF(C4:AG4,"P",C7:AG8)</f>
        <v>2.5</v>
      </c>
      <c r="AM7" s="57">
        <f>SUMIF(C4:AG4,"S",C7:AG8)</f>
        <v>0</v>
      </c>
      <c r="AN7" s="78">
        <f>SUMIF(C4:AG4,"G",C7:AG8)</f>
        <v>0</v>
      </c>
      <c r="AO7" s="167">
        <f>AH7+'2026-05'!AO7</f>
        <v>60</v>
      </c>
      <c r="AP7" s="195" t="s">
        <v>53</v>
      </c>
    </row>
    <row r="8" spans="1:42" s="1" customFormat="1" ht="15.95" customHeight="1">
      <c r="A8" s="185"/>
      <c r="B8" s="186"/>
      <c r="C8" s="45"/>
      <c r="D8" s="45"/>
      <c r="E8" s="10"/>
      <c r="F8" s="10"/>
      <c r="G8" s="10"/>
      <c r="H8" s="26"/>
      <c r="I8" s="26"/>
      <c r="J8" s="10">
        <v>-8</v>
      </c>
      <c r="K8" s="10">
        <v>-8</v>
      </c>
      <c r="L8" s="10"/>
      <c r="M8" s="10"/>
      <c r="N8" s="10"/>
      <c r="O8" s="26"/>
      <c r="P8" s="26"/>
      <c r="Q8" s="10"/>
      <c r="R8" s="10"/>
      <c r="S8" s="10"/>
      <c r="T8" s="10"/>
      <c r="U8" s="31"/>
      <c r="V8" s="26"/>
      <c r="W8" s="26"/>
      <c r="X8" s="10"/>
      <c r="Y8" s="10"/>
      <c r="Z8" s="10"/>
      <c r="AA8" s="10"/>
      <c r="AB8" s="10"/>
      <c r="AC8" s="26"/>
      <c r="AD8" s="26"/>
      <c r="AE8" s="10">
        <v>-8</v>
      </c>
      <c r="AF8" s="10"/>
      <c r="AG8" s="188"/>
      <c r="AH8" s="180"/>
      <c r="AI8" s="194"/>
      <c r="AJ8" s="194"/>
      <c r="AK8" s="194"/>
      <c r="AL8" s="190">
        <f>IF(SUM(C7:AG7)-AI7=0,"√",SUM(C7:AG7)-AI7)</f>
        <v>2.5</v>
      </c>
      <c r="AM8" s="191"/>
      <c r="AN8" s="192"/>
      <c r="AO8" s="168"/>
      <c r="AP8" s="196"/>
    </row>
    <row r="9" spans="1:42" s="1" customFormat="1" ht="15.95" customHeight="1">
      <c r="A9" s="182">
        <v>3</v>
      </c>
      <c r="B9" s="183" t="s">
        <v>4</v>
      </c>
      <c r="C9" s="44"/>
      <c r="D9" s="44"/>
      <c r="E9" s="9"/>
      <c r="F9" s="9"/>
      <c r="G9" s="184">
        <v>3</v>
      </c>
      <c r="H9" s="30"/>
      <c r="I9" s="30"/>
      <c r="J9" s="9"/>
      <c r="K9" s="9"/>
      <c r="L9" s="9"/>
      <c r="M9" s="9"/>
      <c r="N9" s="9"/>
      <c r="O9" s="30"/>
      <c r="P9" s="30"/>
      <c r="Q9" s="9"/>
      <c r="R9" s="9"/>
      <c r="S9" s="9"/>
      <c r="T9" s="9"/>
      <c r="U9" s="60"/>
      <c r="V9" s="30"/>
      <c r="W9" s="30"/>
      <c r="X9" s="9"/>
      <c r="Y9" s="9"/>
      <c r="Z9" s="9"/>
      <c r="AA9" s="9"/>
      <c r="AB9" s="9"/>
      <c r="AC9" s="30"/>
      <c r="AD9" s="30"/>
      <c r="AE9" s="9"/>
      <c r="AF9" s="9"/>
      <c r="AG9" s="131"/>
      <c r="AH9" s="164">
        <f>-(SUMIF(C9:AG9,"=年",C10:AG10))</f>
        <v>0</v>
      </c>
      <c r="AI9" s="166">
        <f>-(SUMIF(C9:AG9,"=调",C10:AG10))</f>
        <v>0</v>
      </c>
      <c r="AJ9" s="166">
        <f>-(SUMIF(C9:AG9,"=病",C10:AG10))</f>
        <v>0</v>
      </c>
      <c r="AK9" s="166">
        <f>-(SUMIF(C9:AG9,"=事",C10:AG10))</f>
        <v>0</v>
      </c>
      <c r="AL9" s="72">
        <f>SUMIF(C4:AG4,"P",C9:AG10)</f>
        <v>3</v>
      </c>
      <c r="AM9" s="68">
        <f>SUMIF(C4:AG4,"S",C9:AG10)</f>
        <v>0</v>
      </c>
      <c r="AN9" s="79">
        <f>SUMIF(C4:AG4,"G",C9:AG10)</f>
        <v>0</v>
      </c>
      <c r="AO9" s="167">
        <f>AH9+'2026-05'!AO9</f>
        <v>34</v>
      </c>
      <c r="AP9" s="170"/>
    </row>
    <row r="10" spans="1:42" s="1" customFormat="1" ht="15.95" customHeight="1">
      <c r="A10" s="175"/>
      <c r="B10" s="177"/>
      <c r="C10" s="44"/>
      <c r="D10" s="44"/>
      <c r="E10" s="9"/>
      <c r="F10" s="9"/>
      <c r="G10" s="179"/>
      <c r="H10" s="30"/>
      <c r="I10" s="30"/>
      <c r="J10" s="9"/>
      <c r="K10" s="9"/>
      <c r="L10" s="9"/>
      <c r="M10" s="9"/>
      <c r="N10" s="9"/>
      <c r="O10" s="20"/>
      <c r="P10" s="26"/>
      <c r="Q10" s="9"/>
      <c r="R10" s="9"/>
      <c r="S10" s="9"/>
      <c r="T10" s="9"/>
      <c r="U10" s="60"/>
      <c r="V10" s="30"/>
      <c r="W10" s="30"/>
      <c r="X10" s="9"/>
      <c r="Y10" s="9"/>
      <c r="Z10" s="9"/>
      <c r="AA10" s="9"/>
      <c r="AB10" s="9"/>
      <c r="AC10" s="30"/>
      <c r="AD10" s="30"/>
      <c r="AE10" s="9"/>
      <c r="AF10" s="9"/>
      <c r="AG10" s="131"/>
      <c r="AH10" s="164"/>
      <c r="AI10" s="166"/>
      <c r="AJ10" s="166"/>
      <c r="AK10" s="166"/>
      <c r="AL10" s="190">
        <f>IF(SUM(C9:AG9)-AI9=0,"√",SUM(C9:AG9)-AI9)</f>
        <v>3</v>
      </c>
      <c r="AM10" s="191"/>
      <c r="AN10" s="192"/>
      <c r="AO10" s="168"/>
      <c r="AP10" s="170"/>
    </row>
    <row r="11" spans="1:42" s="1" customFormat="1" ht="15.95" customHeight="1">
      <c r="A11" s="185">
        <v>4</v>
      </c>
      <c r="B11" s="186" t="s">
        <v>5</v>
      </c>
      <c r="C11" s="25" t="s">
        <v>21</v>
      </c>
      <c r="D11" s="287"/>
      <c r="E11" s="197">
        <v>3</v>
      </c>
      <c r="F11" s="197"/>
      <c r="G11" s="197"/>
      <c r="H11" s="281">
        <v>8.5</v>
      </c>
      <c r="I11" s="281">
        <v>8.5</v>
      </c>
      <c r="J11" s="197"/>
      <c r="K11" s="197"/>
      <c r="L11" s="197"/>
      <c r="M11" s="197"/>
      <c r="N11" s="197"/>
      <c r="O11" s="289">
        <v>8.5</v>
      </c>
      <c r="P11" s="289">
        <v>8.5</v>
      </c>
      <c r="Q11" s="197"/>
      <c r="R11" s="197"/>
      <c r="S11" s="197"/>
      <c r="T11" s="197"/>
      <c r="U11" s="236">
        <v>8.5</v>
      </c>
      <c r="V11" s="281"/>
      <c r="W11" s="281">
        <v>8.5</v>
      </c>
      <c r="X11" s="197"/>
      <c r="Y11" s="197"/>
      <c r="Z11" s="197"/>
      <c r="AA11" s="197"/>
      <c r="AB11" s="197"/>
      <c r="AC11" s="281">
        <v>8.5</v>
      </c>
      <c r="AD11" s="281">
        <v>8.5</v>
      </c>
      <c r="AE11" s="197"/>
      <c r="AF11" s="197"/>
      <c r="AG11" s="187">
        <v>3</v>
      </c>
      <c r="AH11" s="189">
        <f>-(SUMIF(C11:AG11,"=年",C12:AG12))</f>
        <v>4</v>
      </c>
      <c r="AI11" s="193">
        <f>-(SUMIF(C11:AG11,"=调",C12:AG12))</f>
        <v>0</v>
      </c>
      <c r="AJ11" s="193">
        <f>-(SUMIF(C11:AG11,"=病",C12:AG12))</f>
        <v>0</v>
      </c>
      <c r="AK11" s="193">
        <f>-(SUMIF(C11:AG11,"=事",C12:AG12))</f>
        <v>0</v>
      </c>
      <c r="AL11" s="71">
        <f>SUMIF(C4:AG4,"P",C11:AG12)</f>
        <v>6</v>
      </c>
      <c r="AM11" s="46">
        <f>SUMIF(C4:AG4,"S",C11:AG12)</f>
        <v>59.5</v>
      </c>
      <c r="AN11" s="78">
        <f>SUMIF(C4:AG4,"G",C11:AG12)</f>
        <v>8.5</v>
      </c>
      <c r="AO11" s="167">
        <f>AH11+'2026-05'!AO11</f>
        <v>4</v>
      </c>
      <c r="AP11" s="195" t="s">
        <v>53</v>
      </c>
    </row>
    <row r="12" spans="1:42" s="1" customFormat="1" ht="15.95" customHeight="1">
      <c r="A12" s="185"/>
      <c r="B12" s="186"/>
      <c r="C12" s="34">
        <v>-4</v>
      </c>
      <c r="D12" s="288"/>
      <c r="E12" s="198"/>
      <c r="F12" s="198"/>
      <c r="G12" s="198"/>
      <c r="H12" s="282"/>
      <c r="I12" s="282"/>
      <c r="J12" s="198"/>
      <c r="K12" s="198"/>
      <c r="L12" s="198"/>
      <c r="M12" s="198"/>
      <c r="N12" s="198"/>
      <c r="O12" s="284"/>
      <c r="P12" s="284"/>
      <c r="Q12" s="198"/>
      <c r="R12" s="198"/>
      <c r="S12" s="198"/>
      <c r="T12" s="198"/>
      <c r="U12" s="237"/>
      <c r="V12" s="282"/>
      <c r="W12" s="282"/>
      <c r="X12" s="198"/>
      <c r="Y12" s="198"/>
      <c r="Z12" s="198"/>
      <c r="AA12" s="198"/>
      <c r="AB12" s="198"/>
      <c r="AC12" s="282"/>
      <c r="AD12" s="282"/>
      <c r="AE12" s="198"/>
      <c r="AF12" s="198"/>
      <c r="AG12" s="188"/>
      <c r="AH12" s="180"/>
      <c r="AI12" s="194"/>
      <c r="AJ12" s="194"/>
      <c r="AK12" s="194"/>
      <c r="AL12" s="190">
        <f>IF(SUM(C11:AG11)-AI11=0,"√",SUM(C11:AG11)-AI11)</f>
        <v>74</v>
      </c>
      <c r="AM12" s="191"/>
      <c r="AN12" s="200"/>
      <c r="AO12" s="168"/>
      <c r="AP12" s="196"/>
    </row>
    <row r="13" spans="1:42" s="1" customFormat="1" ht="15.95" customHeight="1">
      <c r="A13" s="182">
        <v>5</v>
      </c>
      <c r="B13" s="183" t="s">
        <v>6</v>
      </c>
      <c r="C13" s="25"/>
      <c r="D13" s="25"/>
      <c r="E13" s="197">
        <v>3</v>
      </c>
      <c r="F13" s="11" t="s">
        <v>21</v>
      </c>
      <c r="G13" s="11"/>
      <c r="H13" s="281">
        <v>8.5</v>
      </c>
      <c r="I13" s="281">
        <v>8.5</v>
      </c>
      <c r="J13" s="11"/>
      <c r="K13" s="11"/>
      <c r="L13" s="11"/>
      <c r="M13" s="11"/>
      <c r="N13" s="11"/>
      <c r="O13" s="289">
        <v>8.5</v>
      </c>
      <c r="P13" s="289">
        <v>8.5</v>
      </c>
      <c r="Q13" s="11"/>
      <c r="R13" s="11"/>
      <c r="S13" s="11"/>
      <c r="T13" s="11"/>
      <c r="U13" s="290">
        <v>8.5</v>
      </c>
      <c r="V13" s="289">
        <v>8.5</v>
      </c>
      <c r="W13" s="289">
        <v>8.5</v>
      </c>
      <c r="X13" s="11"/>
      <c r="Y13" s="11"/>
      <c r="Z13" s="11"/>
      <c r="AA13" s="11"/>
      <c r="AB13" s="11"/>
      <c r="AC13" s="281">
        <v>8.5</v>
      </c>
      <c r="AD13" s="281">
        <v>8.5</v>
      </c>
      <c r="AE13" s="11"/>
      <c r="AF13" s="11"/>
      <c r="AG13" s="187">
        <v>3</v>
      </c>
      <c r="AH13" s="164">
        <f>-(SUMIF(C13:AG13,"=年",C14:AG14))</f>
        <v>3.5</v>
      </c>
      <c r="AI13" s="166">
        <f>-(SUMIF(C13:AG13,"=调",C14:AG14))</f>
        <v>0</v>
      </c>
      <c r="AJ13" s="166">
        <f>-(SUMIF(C13:AG13,"=病",C14:AG14))</f>
        <v>0</v>
      </c>
      <c r="AK13" s="166">
        <f>-(SUMIF(C13:AG13,"=事",C14:AG14))</f>
        <v>0</v>
      </c>
      <c r="AL13" s="72">
        <f>SUMIF(C4:AG4,"P",C13:AG14)</f>
        <v>6</v>
      </c>
      <c r="AM13" s="68">
        <f>SUMIF(C4:AG4,"S",C13:AG14)</f>
        <v>68</v>
      </c>
      <c r="AN13" s="79">
        <f>SUMIF(C4:AG4,"G",C13:AG14)</f>
        <v>8.5</v>
      </c>
      <c r="AO13" s="167">
        <f>AH13+'2026-05'!AO13</f>
        <v>21.5</v>
      </c>
      <c r="AP13" s="201" t="s">
        <v>50</v>
      </c>
    </row>
    <row r="14" spans="1:42" s="1" customFormat="1" ht="15.95" customHeight="1">
      <c r="A14" s="175"/>
      <c r="B14" s="177"/>
      <c r="C14" s="34"/>
      <c r="D14" s="34"/>
      <c r="E14" s="198"/>
      <c r="F14" s="15">
        <v>-3.5</v>
      </c>
      <c r="G14" s="15"/>
      <c r="H14" s="282"/>
      <c r="I14" s="282"/>
      <c r="J14" s="15"/>
      <c r="K14" s="15"/>
      <c r="L14" s="15"/>
      <c r="M14" s="15"/>
      <c r="N14" s="15"/>
      <c r="O14" s="284"/>
      <c r="P14" s="284"/>
      <c r="Q14" s="15"/>
      <c r="R14" s="15"/>
      <c r="S14" s="15"/>
      <c r="T14" s="15"/>
      <c r="U14" s="286"/>
      <c r="V14" s="284"/>
      <c r="W14" s="284"/>
      <c r="X14" s="15"/>
      <c r="Y14" s="15"/>
      <c r="Z14" s="15"/>
      <c r="AA14" s="15"/>
      <c r="AB14" s="15"/>
      <c r="AC14" s="282"/>
      <c r="AD14" s="282"/>
      <c r="AE14" s="15"/>
      <c r="AF14" s="15"/>
      <c r="AG14" s="188"/>
      <c r="AH14" s="164"/>
      <c r="AI14" s="166"/>
      <c r="AJ14" s="166"/>
      <c r="AK14" s="166"/>
      <c r="AL14" s="171">
        <f>IF(SUM(C13:AG13)-AI13=0,"√",SUM(C13:AG13)-AI13)</f>
        <v>82.5</v>
      </c>
      <c r="AM14" s="172"/>
      <c r="AN14" s="173"/>
      <c r="AO14" s="168"/>
      <c r="AP14" s="201"/>
    </row>
    <row r="15" spans="1:42" s="1" customFormat="1" ht="15.95" customHeight="1">
      <c r="A15" s="185">
        <v>6</v>
      </c>
      <c r="B15" s="186" t="s">
        <v>7</v>
      </c>
      <c r="C15" s="287"/>
      <c r="D15" s="287">
        <v>3</v>
      </c>
      <c r="E15" s="197"/>
      <c r="F15" s="197"/>
      <c r="G15" s="197"/>
      <c r="H15" s="281">
        <v>8.5</v>
      </c>
      <c r="I15" s="281">
        <v>8.5</v>
      </c>
      <c r="J15" s="197"/>
      <c r="K15" s="197"/>
      <c r="L15" s="197"/>
      <c r="M15" s="197"/>
      <c r="N15" s="197"/>
      <c r="O15" s="289">
        <v>8.5</v>
      </c>
      <c r="P15" s="289">
        <v>8.5</v>
      </c>
      <c r="Q15" s="11" t="s">
        <v>21</v>
      </c>
      <c r="R15" s="11" t="s">
        <v>21</v>
      </c>
      <c r="S15" s="197"/>
      <c r="T15" s="197"/>
      <c r="U15" s="290">
        <v>8.5</v>
      </c>
      <c r="V15" s="291">
        <v>8.5</v>
      </c>
      <c r="W15" s="289">
        <v>8.5</v>
      </c>
      <c r="X15" s="197"/>
      <c r="Y15" s="197"/>
      <c r="Z15" s="197"/>
      <c r="AA15" s="197"/>
      <c r="AB15" s="197"/>
      <c r="AC15" s="281">
        <v>8.5</v>
      </c>
      <c r="AD15" s="281"/>
      <c r="AE15" s="197"/>
      <c r="AF15" s="197"/>
      <c r="AG15" s="187">
        <v>6</v>
      </c>
      <c r="AH15" s="189">
        <f>-(SUMIF(C15:AG15,"=年",C16:AG16))</f>
        <v>7</v>
      </c>
      <c r="AI15" s="193">
        <f>-(SUMIF(C15:AG15,"=调",C16:AG16))</f>
        <v>0</v>
      </c>
      <c r="AJ15" s="193">
        <f>-(SUMIF(C15:AG15,"=病",C16:AG16))</f>
        <v>0</v>
      </c>
      <c r="AK15" s="193">
        <f>-(SUMIF(C15:AG15,"=事",C16:AG16))</f>
        <v>0</v>
      </c>
      <c r="AL15" s="71">
        <f>SUMIF(C4:AG4,"P",C15:AG16)</f>
        <v>9</v>
      </c>
      <c r="AM15" s="46">
        <f>SUMIF(C4:AG4,"S",C15:AG16)</f>
        <v>59.5</v>
      </c>
      <c r="AN15" s="78">
        <f>SUMIF(C4:AG4,"G",C15:AG16)</f>
        <v>8.5</v>
      </c>
      <c r="AO15" s="167">
        <f>AH15+'2026-05'!AO15</f>
        <v>15</v>
      </c>
      <c r="AP15" s="195" t="s">
        <v>51</v>
      </c>
    </row>
    <row r="16" spans="1:42" s="1" customFormat="1" ht="15.95" customHeight="1">
      <c r="A16" s="185"/>
      <c r="B16" s="186"/>
      <c r="C16" s="288"/>
      <c r="D16" s="288"/>
      <c r="E16" s="198"/>
      <c r="F16" s="198"/>
      <c r="G16" s="198"/>
      <c r="H16" s="282"/>
      <c r="I16" s="282"/>
      <c r="J16" s="198"/>
      <c r="K16" s="198"/>
      <c r="L16" s="198"/>
      <c r="M16" s="198"/>
      <c r="N16" s="198"/>
      <c r="O16" s="284"/>
      <c r="P16" s="284"/>
      <c r="Q16" s="15">
        <v>-4</v>
      </c>
      <c r="R16" s="15">
        <v>-3</v>
      </c>
      <c r="S16" s="198"/>
      <c r="T16" s="198"/>
      <c r="U16" s="286"/>
      <c r="V16" s="284"/>
      <c r="W16" s="284"/>
      <c r="X16" s="198"/>
      <c r="Y16" s="198"/>
      <c r="Z16" s="198"/>
      <c r="AA16" s="198"/>
      <c r="AB16" s="198"/>
      <c r="AC16" s="282"/>
      <c r="AD16" s="282"/>
      <c r="AE16" s="198"/>
      <c r="AF16" s="198"/>
      <c r="AG16" s="188"/>
      <c r="AH16" s="180"/>
      <c r="AI16" s="194"/>
      <c r="AJ16" s="194"/>
      <c r="AK16" s="194"/>
      <c r="AL16" s="190">
        <f>IF(SUM(C15:AG15)-AI15=0,"√",SUM(C15:AG15)-AI15)</f>
        <v>77</v>
      </c>
      <c r="AM16" s="191"/>
      <c r="AN16" s="200"/>
      <c r="AO16" s="168"/>
      <c r="AP16" s="239"/>
    </row>
    <row r="17" spans="1:42" s="1" customFormat="1" ht="15.95" customHeight="1">
      <c r="A17" s="182">
        <v>7</v>
      </c>
      <c r="B17" s="183" t="s">
        <v>8</v>
      </c>
      <c r="C17" s="44"/>
      <c r="D17" s="44"/>
      <c r="E17" s="9"/>
      <c r="F17" s="9"/>
      <c r="G17" s="37" t="s">
        <v>21</v>
      </c>
      <c r="H17" s="30"/>
      <c r="I17" s="30"/>
      <c r="J17" s="9"/>
      <c r="K17" s="9"/>
      <c r="L17" s="9"/>
      <c r="M17" s="9"/>
      <c r="N17" s="9"/>
      <c r="O17" s="19"/>
      <c r="P17" s="30"/>
      <c r="Q17" s="9"/>
      <c r="R17" s="9"/>
      <c r="S17" s="9"/>
      <c r="T17" s="9"/>
      <c r="U17" s="60"/>
      <c r="V17" s="30"/>
      <c r="W17" s="30"/>
      <c r="X17" s="9"/>
      <c r="Y17" s="9"/>
      <c r="Z17" s="9"/>
      <c r="AA17" s="9"/>
      <c r="AB17" s="9"/>
      <c r="AC17" s="30"/>
      <c r="AD17" s="30"/>
      <c r="AE17" s="9"/>
      <c r="AF17" s="9"/>
      <c r="AG17" s="131"/>
      <c r="AH17" s="164">
        <f>-(SUMIF(C17:AG17,"=年",C18:AG18))</f>
        <v>8</v>
      </c>
      <c r="AI17" s="166">
        <f>-(SUMIF(C17:AG17,"=调",C18:AG18))</f>
        <v>0</v>
      </c>
      <c r="AJ17" s="166">
        <f>-(SUMIF(C17:AG17,"=病",C18:AG18))</f>
        <v>0</v>
      </c>
      <c r="AK17" s="166">
        <f>-(SUMIF(C17:AG17,"=事",C18:AG18))</f>
        <v>0</v>
      </c>
      <c r="AL17" s="72">
        <f>SUMIF(C4:AG4,"P",C17:AG18)</f>
        <v>0</v>
      </c>
      <c r="AM17" s="68">
        <f>SUMIF(C4:AG4,"S",C17:AG18)</f>
        <v>0</v>
      </c>
      <c r="AN17" s="79">
        <f>SUMIF(C4:AG4,"G",C17:AG18)</f>
        <v>0</v>
      </c>
      <c r="AO17" s="167">
        <f>AH17+'2026-05'!AO17</f>
        <v>21</v>
      </c>
      <c r="AP17" s="170"/>
    </row>
    <row r="18" spans="1:42" s="1" customFormat="1" ht="15.95" customHeight="1">
      <c r="A18" s="175"/>
      <c r="B18" s="177"/>
      <c r="C18" s="44"/>
      <c r="D18" s="44"/>
      <c r="E18" s="9"/>
      <c r="F18" s="9"/>
      <c r="G18" s="9">
        <v>-8</v>
      </c>
      <c r="H18" s="30"/>
      <c r="I18" s="30"/>
      <c r="J18" s="9"/>
      <c r="K18" s="9"/>
      <c r="L18" s="9"/>
      <c r="M18" s="9"/>
      <c r="N18" s="9"/>
      <c r="O18" s="20"/>
      <c r="P18" s="26"/>
      <c r="Q18" s="9"/>
      <c r="R18" s="9"/>
      <c r="S18" s="9"/>
      <c r="T18" s="9"/>
      <c r="U18" s="60"/>
      <c r="V18" s="30"/>
      <c r="W18" s="30"/>
      <c r="X18" s="9"/>
      <c r="Y18" s="9"/>
      <c r="Z18" s="9"/>
      <c r="AA18" s="9"/>
      <c r="AB18" s="9"/>
      <c r="AC18" s="30"/>
      <c r="AD18" s="30"/>
      <c r="AE18" s="9"/>
      <c r="AF18" s="9"/>
      <c r="AG18" s="131"/>
      <c r="AH18" s="164"/>
      <c r="AI18" s="166"/>
      <c r="AJ18" s="166"/>
      <c r="AK18" s="166"/>
      <c r="AL18" s="171" t="str">
        <f>IF(SUM(C17:AG17)-AI17=0,"√",SUM(C17:AG17)-AI17)</f>
        <v>√</v>
      </c>
      <c r="AM18" s="172"/>
      <c r="AN18" s="173"/>
      <c r="AO18" s="168"/>
      <c r="AP18" s="170"/>
    </row>
    <row r="19" spans="1:42" s="1" customFormat="1" ht="15.95" customHeight="1">
      <c r="A19" s="185">
        <v>8</v>
      </c>
      <c r="B19" s="186" t="s">
        <v>9</v>
      </c>
      <c r="C19" s="287"/>
      <c r="D19" s="287"/>
      <c r="E19" s="197"/>
      <c r="F19" s="197"/>
      <c r="G19" s="197">
        <v>3</v>
      </c>
      <c r="H19" s="281">
        <v>8.5</v>
      </c>
      <c r="I19" s="281">
        <v>8.5</v>
      </c>
      <c r="J19" s="197"/>
      <c r="K19" s="197"/>
      <c r="L19" s="11" t="s">
        <v>21</v>
      </c>
      <c r="M19" s="197"/>
      <c r="N19" s="197"/>
      <c r="O19" s="289">
        <v>8.5</v>
      </c>
      <c r="P19" s="289">
        <v>8.5</v>
      </c>
      <c r="Q19" s="197"/>
      <c r="R19" s="197"/>
      <c r="S19" s="197"/>
      <c r="T19" s="197"/>
      <c r="U19" s="236"/>
      <c r="V19" s="281">
        <v>8.5</v>
      </c>
      <c r="W19" s="281">
        <v>8.5</v>
      </c>
      <c r="X19" s="197"/>
      <c r="Y19" s="197"/>
      <c r="Z19" s="197"/>
      <c r="AA19" s="197"/>
      <c r="AB19" s="197"/>
      <c r="AC19" s="281">
        <v>8.5</v>
      </c>
      <c r="AD19" s="281">
        <v>8.5</v>
      </c>
      <c r="AE19" s="197"/>
      <c r="AF19" s="197"/>
      <c r="AG19" s="187"/>
      <c r="AH19" s="189">
        <f>-(SUMIF(C19:AG19,"=年",C20:AG20))</f>
        <v>4</v>
      </c>
      <c r="AI19" s="193">
        <f>-(SUMIF(C19:AG19,"=调",C20:AG20))</f>
        <v>0</v>
      </c>
      <c r="AJ19" s="193">
        <f>-(SUMIF(C19:AG19,"=病",C20:AG20))</f>
        <v>0</v>
      </c>
      <c r="AK19" s="193">
        <f>-(SUMIF(C19:AG19,"=事",C20:AG20))</f>
        <v>0</v>
      </c>
      <c r="AL19" s="71">
        <f>SUMIF(C4:AG4,"P",C19:AG20)</f>
        <v>3</v>
      </c>
      <c r="AM19" s="46">
        <f>SUMIF(C4:AG4,"S",C19:AG20)</f>
        <v>68</v>
      </c>
      <c r="AN19" s="78">
        <f>SUMIF(C4:AG4,"G",C19:AG20)</f>
        <v>0</v>
      </c>
      <c r="AO19" s="167">
        <f>AH19+'2026-05'!AO19</f>
        <v>10.5</v>
      </c>
      <c r="AP19" s="205"/>
    </row>
    <row r="20" spans="1:42" s="1" customFormat="1" ht="15.95" customHeight="1">
      <c r="A20" s="185"/>
      <c r="B20" s="186"/>
      <c r="C20" s="288"/>
      <c r="D20" s="288"/>
      <c r="E20" s="198"/>
      <c r="F20" s="198"/>
      <c r="G20" s="198"/>
      <c r="H20" s="282"/>
      <c r="I20" s="282"/>
      <c r="J20" s="198"/>
      <c r="K20" s="198"/>
      <c r="L20" s="15">
        <v>-4</v>
      </c>
      <c r="M20" s="198"/>
      <c r="N20" s="198"/>
      <c r="O20" s="284"/>
      <c r="P20" s="284"/>
      <c r="Q20" s="198"/>
      <c r="R20" s="198"/>
      <c r="S20" s="198"/>
      <c r="T20" s="198"/>
      <c r="U20" s="237"/>
      <c r="V20" s="282"/>
      <c r="W20" s="282"/>
      <c r="X20" s="198"/>
      <c r="Y20" s="198"/>
      <c r="Z20" s="198"/>
      <c r="AA20" s="198"/>
      <c r="AB20" s="198"/>
      <c r="AC20" s="282"/>
      <c r="AD20" s="282"/>
      <c r="AE20" s="198"/>
      <c r="AF20" s="198"/>
      <c r="AG20" s="188"/>
      <c r="AH20" s="180"/>
      <c r="AI20" s="194"/>
      <c r="AJ20" s="194"/>
      <c r="AK20" s="194"/>
      <c r="AL20" s="190">
        <f>IF(SUM(C19:AG19)-AI19=0,"√",SUM(C19:AG19)-AI19)</f>
        <v>71</v>
      </c>
      <c r="AM20" s="191"/>
      <c r="AN20" s="200"/>
      <c r="AO20" s="168"/>
      <c r="AP20" s="206"/>
    </row>
    <row r="21" spans="1:42" s="1" customFormat="1" ht="15.95" customHeight="1">
      <c r="A21" s="182">
        <v>9</v>
      </c>
      <c r="B21" s="183" t="s">
        <v>11</v>
      </c>
      <c r="C21" s="287"/>
      <c r="D21" s="287"/>
      <c r="E21" s="11" t="s">
        <v>21</v>
      </c>
      <c r="F21" s="197">
        <v>3</v>
      </c>
      <c r="G21" s="197"/>
      <c r="H21" s="281">
        <v>8.5</v>
      </c>
      <c r="I21" s="281">
        <v>8.5</v>
      </c>
      <c r="J21" s="197"/>
      <c r="K21" s="197"/>
      <c r="L21" s="197"/>
      <c r="M21" s="11" t="s">
        <v>21</v>
      </c>
      <c r="N21" s="197"/>
      <c r="O21" s="289">
        <v>8.5</v>
      </c>
      <c r="P21" s="289">
        <v>8.5</v>
      </c>
      <c r="Q21" s="197"/>
      <c r="R21" s="197"/>
      <c r="S21" s="197"/>
      <c r="T21" s="197"/>
      <c r="U21" s="290">
        <v>8.5</v>
      </c>
      <c r="V21" s="289">
        <v>8.5</v>
      </c>
      <c r="W21" s="281"/>
      <c r="X21" s="197"/>
      <c r="Y21" s="197"/>
      <c r="Z21" s="197"/>
      <c r="AA21" s="197"/>
      <c r="AB21" s="197"/>
      <c r="AC21" s="281">
        <v>8.5</v>
      </c>
      <c r="AD21" s="281">
        <v>8.5</v>
      </c>
      <c r="AE21" s="197"/>
      <c r="AF21" s="197"/>
      <c r="AG21" s="187"/>
      <c r="AH21" s="164">
        <f>-(SUMIF(C21:AG21,"=年",C22:AG22))</f>
        <v>2</v>
      </c>
      <c r="AI21" s="166">
        <f>-(SUMIF(C21:AG21,"=调",C22:AG22))</f>
        <v>0</v>
      </c>
      <c r="AJ21" s="166">
        <f>-(SUMIF(C21:AG21,"=病",C22:AG22))</f>
        <v>0</v>
      </c>
      <c r="AK21" s="166">
        <f>-(SUMIF(C21:AG21,"=事",C22:AG22))</f>
        <v>0</v>
      </c>
      <c r="AL21" s="72">
        <f>SUMIF(C4:AG4,"P",C21:AG22)</f>
        <v>3</v>
      </c>
      <c r="AM21" s="68">
        <f>SUMIF(C4:AG4,"S",C21:AG22)</f>
        <v>59.5</v>
      </c>
      <c r="AN21" s="79">
        <f>SUMIF(C4:AG4,"G",C21:AG22)</f>
        <v>8.5</v>
      </c>
      <c r="AO21" s="167">
        <f>AH21+'2026-05'!AO21</f>
        <v>6</v>
      </c>
      <c r="AP21" s="201" t="s">
        <v>52</v>
      </c>
    </row>
    <row r="22" spans="1:42" s="1" customFormat="1" ht="15.95" customHeight="1">
      <c r="A22" s="175"/>
      <c r="B22" s="177"/>
      <c r="C22" s="288"/>
      <c r="D22" s="288"/>
      <c r="E22" s="15">
        <v>-1</v>
      </c>
      <c r="F22" s="198"/>
      <c r="G22" s="198"/>
      <c r="H22" s="282"/>
      <c r="I22" s="282"/>
      <c r="J22" s="198"/>
      <c r="K22" s="198"/>
      <c r="L22" s="198"/>
      <c r="M22" s="15">
        <v>-1</v>
      </c>
      <c r="N22" s="198"/>
      <c r="O22" s="284"/>
      <c r="P22" s="284"/>
      <c r="Q22" s="198"/>
      <c r="R22" s="198"/>
      <c r="S22" s="198"/>
      <c r="T22" s="198"/>
      <c r="U22" s="286"/>
      <c r="V22" s="284"/>
      <c r="W22" s="282"/>
      <c r="X22" s="198"/>
      <c r="Y22" s="198"/>
      <c r="Z22" s="198"/>
      <c r="AA22" s="198"/>
      <c r="AB22" s="198"/>
      <c r="AC22" s="282"/>
      <c r="AD22" s="282"/>
      <c r="AE22" s="198"/>
      <c r="AF22" s="198"/>
      <c r="AG22" s="188"/>
      <c r="AH22" s="164"/>
      <c r="AI22" s="166"/>
      <c r="AJ22" s="166"/>
      <c r="AK22" s="166"/>
      <c r="AL22" s="171">
        <f>IF(SUM(C21:AG21)-AI21=0,"√",SUM(C21:AG21)-AI21)</f>
        <v>71</v>
      </c>
      <c r="AM22" s="172"/>
      <c r="AN22" s="173"/>
      <c r="AO22" s="168"/>
      <c r="AP22" s="201"/>
    </row>
    <row r="23" spans="1:42" s="1" customFormat="1" ht="15.95" customHeight="1">
      <c r="A23" s="185">
        <v>10</v>
      </c>
      <c r="B23" s="186" t="s">
        <v>12</v>
      </c>
      <c r="C23" s="287"/>
      <c r="D23" s="287"/>
      <c r="E23" s="197"/>
      <c r="F23" s="197"/>
      <c r="G23" s="197">
        <v>3</v>
      </c>
      <c r="H23" s="281">
        <v>8.5</v>
      </c>
      <c r="I23" s="281">
        <v>8.5</v>
      </c>
      <c r="J23" s="197"/>
      <c r="K23" s="197"/>
      <c r="L23" s="197"/>
      <c r="M23" s="197"/>
      <c r="N23" s="197"/>
      <c r="O23" s="289">
        <v>8.5</v>
      </c>
      <c r="P23" s="289">
        <v>8.5</v>
      </c>
      <c r="Q23" s="197"/>
      <c r="R23" s="197"/>
      <c r="S23" s="197"/>
      <c r="T23" s="197"/>
      <c r="U23" s="293">
        <v>8.5</v>
      </c>
      <c r="V23" s="292">
        <v>8.5</v>
      </c>
      <c r="W23" s="292">
        <v>8.5</v>
      </c>
      <c r="X23" s="197"/>
      <c r="Y23" s="11" t="s">
        <v>21</v>
      </c>
      <c r="Z23" s="197"/>
      <c r="AA23" s="197"/>
      <c r="AB23" s="197"/>
      <c r="AC23" s="281">
        <v>8.5</v>
      </c>
      <c r="AD23" s="281">
        <v>8.5</v>
      </c>
      <c r="AE23" s="197"/>
      <c r="AF23" s="197"/>
      <c r="AG23" s="187">
        <v>3</v>
      </c>
      <c r="AH23" s="189">
        <f>-(SUMIF(C23:AG23,"=年",C24:AG24))</f>
        <v>2</v>
      </c>
      <c r="AI23" s="193">
        <f>-(SUMIF(C23:AG23,"=调",C24:AG24))</f>
        <v>0</v>
      </c>
      <c r="AJ23" s="193">
        <f>-(SUMIF(C23:AG23,"=病",C24:AG24))</f>
        <v>0</v>
      </c>
      <c r="AK23" s="193">
        <f>-(SUMIF(C23:AG23,"=事",C24:AG24))</f>
        <v>0</v>
      </c>
      <c r="AL23" s="71">
        <f>SUMIF(C4:AG4,"P",C23:AG24)</f>
        <v>6</v>
      </c>
      <c r="AM23" s="46">
        <f>SUMIF(C4:AG4,"S",C23:AG24)</f>
        <v>68</v>
      </c>
      <c r="AN23" s="78">
        <f>SUMIF(C4:AG4,"G",C23:AG24)</f>
        <v>8.5</v>
      </c>
      <c r="AO23" s="167">
        <f>AH23+'2026-05'!AO23</f>
        <v>13</v>
      </c>
      <c r="AP23" s="195" t="s">
        <v>53</v>
      </c>
    </row>
    <row r="24" spans="1:42" s="1" customFormat="1" ht="15.95" customHeight="1">
      <c r="A24" s="185"/>
      <c r="B24" s="186"/>
      <c r="C24" s="288"/>
      <c r="D24" s="288"/>
      <c r="E24" s="198"/>
      <c r="F24" s="198"/>
      <c r="G24" s="198"/>
      <c r="H24" s="282"/>
      <c r="I24" s="282"/>
      <c r="J24" s="198"/>
      <c r="K24" s="198"/>
      <c r="L24" s="198"/>
      <c r="M24" s="198"/>
      <c r="N24" s="198"/>
      <c r="O24" s="284"/>
      <c r="P24" s="284"/>
      <c r="Q24" s="198"/>
      <c r="R24" s="198"/>
      <c r="S24" s="198"/>
      <c r="T24" s="198"/>
      <c r="U24" s="286"/>
      <c r="V24" s="284"/>
      <c r="W24" s="284"/>
      <c r="X24" s="198"/>
      <c r="Y24" s="15">
        <v>-2</v>
      </c>
      <c r="Z24" s="198"/>
      <c r="AA24" s="198"/>
      <c r="AB24" s="198"/>
      <c r="AC24" s="282"/>
      <c r="AD24" s="282"/>
      <c r="AE24" s="198"/>
      <c r="AF24" s="198"/>
      <c r="AG24" s="188"/>
      <c r="AH24" s="180"/>
      <c r="AI24" s="194"/>
      <c r="AJ24" s="194"/>
      <c r="AK24" s="194"/>
      <c r="AL24" s="190">
        <f>IF(SUM(C23:AG23)-AI23=0,"√",SUM(C23:AG23)-AI23)</f>
        <v>82.5</v>
      </c>
      <c r="AM24" s="191"/>
      <c r="AN24" s="200"/>
      <c r="AO24" s="168"/>
      <c r="AP24" s="196"/>
    </row>
    <row r="25" spans="1:42" s="1" customFormat="1" ht="15.95" customHeight="1">
      <c r="A25" s="185">
        <v>11</v>
      </c>
      <c r="B25" s="186" t="s">
        <v>14</v>
      </c>
      <c r="C25" s="287"/>
      <c r="D25" s="287"/>
      <c r="E25" s="197"/>
      <c r="F25" s="197">
        <v>3</v>
      </c>
      <c r="G25" s="197"/>
      <c r="H25" s="281">
        <v>8.5</v>
      </c>
      <c r="I25" s="281">
        <v>8.5</v>
      </c>
      <c r="J25" s="197"/>
      <c r="K25" s="197"/>
      <c r="L25" s="197"/>
      <c r="M25" s="197"/>
      <c r="N25" s="197"/>
      <c r="O25" s="289">
        <v>8.5</v>
      </c>
      <c r="P25" s="289">
        <v>8.5</v>
      </c>
      <c r="Q25" s="197"/>
      <c r="R25" s="197"/>
      <c r="S25" s="197"/>
      <c r="T25" s="197"/>
      <c r="U25" s="290">
        <v>8.5</v>
      </c>
      <c r="V25" s="289">
        <v>8.5</v>
      </c>
      <c r="W25" s="289">
        <v>8.5</v>
      </c>
      <c r="X25" s="197"/>
      <c r="Y25" s="197"/>
      <c r="Z25" s="197"/>
      <c r="AA25" s="197"/>
      <c r="AB25" s="197"/>
      <c r="AC25" s="281">
        <v>8.5</v>
      </c>
      <c r="AD25" s="281">
        <v>8.5</v>
      </c>
      <c r="AE25" s="197"/>
      <c r="AF25" s="197"/>
      <c r="AG25" s="187">
        <v>3</v>
      </c>
      <c r="AH25" s="189">
        <f>-(SUMIF(C25:AG25,"=年",C26:AG26))</f>
        <v>0</v>
      </c>
      <c r="AI25" s="193">
        <f>-(SUMIF(C25:AG25,"=调",C26:AG26))</f>
        <v>0</v>
      </c>
      <c r="AJ25" s="193">
        <f>-(SUMIF(C25:AG25,"=病",C26:AG26))</f>
        <v>0</v>
      </c>
      <c r="AK25" s="193">
        <f>-(SUMIF(C25:AG25,"=事",C26:AG26))</f>
        <v>0</v>
      </c>
      <c r="AL25" s="71">
        <f>SUMIF(C4:AG4,"P",C25:AG26)</f>
        <v>6</v>
      </c>
      <c r="AM25" s="46">
        <f>SUMIF(C4:AG4,"S",C25:AG26)</f>
        <v>68</v>
      </c>
      <c r="AN25" s="78">
        <f>SUMIF(C4:AG4,"G",C25:AG26)</f>
        <v>8.5</v>
      </c>
      <c r="AO25" s="167">
        <f>AH25+'2026-05'!AO25</f>
        <v>33</v>
      </c>
      <c r="AP25" s="195" t="s">
        <v>53</v>
      </c>
    </row>
    <row r="26" spans="1:42" s="1" customFormat="1" ht="15.95" customHeight="1">
      <c r="A26" s="185"/>
      <c r="B26" s="186"/>
      <c r="C26" s="288"/>
      <c r="D26" s="288"/>
      <c r="E26" s="198"/>
      <c r="F26" s="198"/>
      <c r="G26" s="198"/>
      <c r="H26" s="282"/>
      <c r="I26" s="282"/>
      <c r="J26" s="198"/>
      <c r="K26" s="198"/>
      <c r="L26" s="198"/>
      <c r="M26" s="198"/>
      <c r="N26" s="198"/>
      <c r="O26" s="284"/>
      <c r="P26" s="284"/>
      <c r="Q26" s="198"/>
      <c r="R26" s="198"/>
      <c r="S26" s="198"/>
      <c r="T26" s="198"/>
      <c r="U26" s="286"/>
      <c r="V26" s="284"/>
      <c r="W26" s="284"/>
      <c r="X26" s="198"/>
      <c r="Y26" s="198"/>
      <c r="Z26" s="198"/>
      <c r="AA26" s="198"/>
      <c r="AB26" s="198"/>
      <c r="AC26" s="282"/>
      <c r="AD26" s="282"/>
      <c r="AE26" s="198"/>
      <c r="AF26" s="198"/>
      <c r="AG26" s="188"/>
      <c r="AH26" s="180"/>
      <c r="AI26" s="194"/>
      <c r="AJ26" s="194"/>
      <c r="AK26" s="194"/>
      <c r="AL26" s="190">
        <f>IF(SUM(C25:AG25)-AI25=0,"√",SUM(C25:AG25)-AI25)</f>
        <v>82.5</v>
      </c>
      <c r="AM26" s="191"/>
      <c r="AN26" s="200"/>
      <c r="AO26" s="168"/>
      <c r="AP26" s="196"/>
    </row>
    <row r="27" spans="1:42" s="1" customFormat="1" ht="15.95" customHeight="1">
      <c r="A27" s="182">
        <v>12</v>
      </c>
      <c r="B27" s="183" t="s">
        <v>34</v>
      </c>
      <c r="C27" s="44"/>
      <c r="D27" s="44"/>
      <c r="E27" s="9"/>
      <c r="F27" s="9"/>
      <c r="G27" s="9"/>
      <c r="H27" s="30"/>
      <c r="I27" s="30"/>
      <c r="J27" s="9"/>
      <c r="K27" s="9"/>
      <c r="L27" s="9"/>
      <c r="M27" s="9"/>
      <c r="N27" s="9"/>
      <c r="O27" s="30"/>
      <c r="P27" s="30"/>
      <c r="Q27" s="9"/>
      <c r="R27" s="9"/>
      <c r="S27" s="9"/>
      <c r="T27" s="9"/>
      <c r="U27" s="60"/>
      <c r="V27" s="30"/>
      <c r="W27" s="30"/>
      <c r="X27" s="9"/>
      <c r="Y27" s="9"/>
      <c r="Z27" s="9"/>
      <c r="AA27" s="9"/>
      <c r="AB27" s="9"/>
      <c r="AC27" s="30"/>
      <c r="AD27" s="30"/>
      <c r="AE27" s="9"/>
      <c r="AF27" s="9"/>
      <c r="AG27" s="131"/>
      <c r="AH27" s="164">
        <f>-(SUMIF(C27:AG27,"=年",C28:AG28))</f>
        <v>0</v>
      </c>
      <c r="AI27" s="166">
        <f>-(SUMIF(C27:AG27,"=调",C28:AG28))</f>
        <v>0</v>
      </c>
      <c r="AJ27" s="166">
        <f>-(SUMIF(C27:AG27,"=病",C28:AG28))</f>
        <v>0</v>
      </c>
      <c r="AK27" s="166">
        <f>-(SUMIF(C27:AG27,"=事",C28:AG28))</f>
        <v>0</v>
      </c>
      <c r="AL27" s="72">
        <f>SUMIF(C4:AG4,"P",C27:AG28)</f>
        <v>0</v>
      </c>
      <c r="AM27" s="68">
        <f>SUMIF(C4:AG4,"S",C27:AG28)-AI27</f>
        <v>0</v>
      </c>
      <c r="AN27" s="79">
        <f>SUMIF(C4:AG4,"G",C27:AG28)</f>
        <v>0</v>
      </c>
      <c r="AO27" s="167">
        <f>AH27+'2026-05'!AO27</f>
        <v>49.5</v>
      </c>
      <c r="AP27" s="217"/>
    </row>
    <row r="28" spans="1:42" s="1" customFormat="1" ht="15.95" customHeight="1" thickBot="1">
      <c r="A28" s="231"/>
      <c r="B28" s="232"/>
      <c r="C28" s="69"/>
      <c r="D28" s="69"/>
      <c r="E28" s="13"/>
      <c r="F28" s="13"/>
      <c r="G28" s="13"/>
      <c r="H28" s="28"/>
      <c r="I28" s="28"/>
      <c r="J28" s="13"/>
      <c r="K28" s="13"/>
      <c r="L28" s="13"/>
      <c r="M28" s="13"/>
      <c r="N28" s="13"/>
      <c r="O28" s="28"/>
      <c r="P28" s="28"/>
      <c r="Q28" s="13"/>
      <c r="R28" s="13"/>
      <c r="S28" s="13"/>
      <c r="T28" s="13"/>
      <c r="U28" s="33"/>
      <c r="V28" s="28"/>
      <c r="W28" s="28"/>
      <c r="X28" s="13"/>
      <c r="Y28" s="13"/>
      <c r="Z28" s="13"/>
      <c r="AA28" s="13"/>
      <c r="AB28" s="13"/>
      <c r="AC28" s="28"/>
      <c r="AD28" s="28"/>
      <c r="AE28" s="13"/>
      <c r="AF28" s="13"/>
      <c r="AG28" s="132"/>
      <c r="AH28" s="223"/>
      <c r="AI28" s="211"/>
      <c r="AJ28" s="211"/>
      <c r="AK28" s="211"/>
      <c r="AL28" s="213" t="str">
        <f>IF(SUM(C27:AG27)-AI27=0,"√",SUM(C27:AG27)-AI27)</f>
        <v>√</v>
      </c>
      <c r="AM28" s="214"/>
      <c r="AN28" s="215"/>
      <c r="AO28" s="168"/>
      <c r="AP28" s="226"/>
    </row>
    <row r="29" spans="1:42" ht="37.15" customHeight="1">
      <c r="A29" s="216" t="s">
        <v>31</v>
      </c>
      <c r="B29" s="216"/>
      <c r="C29" s="216"/>
      <c r="D29" s="216"/>
      <c r="E29" s="216"/>
      <c r="F29" s="216"/>
      <c r="G29" s="216"/>
      <c r="H29" s="216"/>
      <c r="I29" s="216"/>
      <c r="J29" s="216"/>
      <c r="K29" s="216"/>
      <c r="L29" s="216"/>
      <c r="M29" s="216"/>
      <c r="N29" s="216"/>
      <c r="O29" s="216"/>
      <c r="P29" s="216"/>
      <c r="Q29" s="216"/>
      <c r="R29" s="216"/>
      <c r="S29" s="216"/>
      <c r="T29" s="216"/>
      <c r="U29" s="216"/>
      <c r="V29" s="216"/>
      <c r="W29" s="216"/>
      <c r="X29" s="216"/>
      <c r="Y29" s="216"/>
      <c r="Z29" s="216"/>
      <c r="AA29" s="216"/>
      <c r="AB29" s="216"/>
      <c r="AC29" s="216"/>
      <c r="AD29" s="216"/>
      <c r="AE29" s="216"/>
      <c r="AF29" s="216"/>
      <c r="AG29" s="216"/>
      <c r="AH29" s="216"/>
      <c r="AI29" s="216"/>
      <c r="AJ29" s="216"/>
      <c r="AK29" s="216"/>
      <c r="AL29" s="216"/>
      <c r="AM29" s="216"/>
      <c r="AN29" s="216"/>
      <c r="AO29" s="216"/>
      <c r="AP29" s="216"/>
    </row>
    <row r="30" spans="1:42" ht="34.9" customHeight="1">
      <c r="A30" s="3" t="s">
        <v>13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P30" s="3"/>
      <c r="Q30" s="3"/>
      <c r="R30" s="3"/>
      <c r="S30" s="3" t="s">
        <v>23</v>
      </c>
      <c r="T30" s="3"/>
      <c r="U30" s="3"/>
      <c r="V30" s="3"/>
      <c r="W30" s="3"/>
      <c r="X30" s="3"/>
      <c r="Y30" s="3"/>
      <c r="Z30" s="3"/>
      <c r="AA30" s="3"/>
      <c r="AB30" s="3"/>
      <c r="AD30" s="3"/>
      <c r="AE30" s="3"/>
      <c r="AG30" s="4"/>
      <c r="AI30" s="4"/>
      <c r="AJ30" s="3" t="s">
        <v>10</v>
      </c>
      <c r="AK30" s="4"/>
      <c r="AL30" s="4"/>
      <c r="AM30" s="4"/>
      <c r="AN30" s="4"/>
      <c r="AO30" s="4"/>
      <c r="AP30" s="4"/>
    </row>
    <row r="31" spans="1:4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</row>
  </sheetData>
  <mergeCells count="313">
    <mergeCell ref="AO27:AO28"/>
    <mergeCell ref="AP27:AP28"/>
    <mergeCell ref="AL28:AN28"/>
    <mergeCell ref="A29:AP29"/>
    <mergeCell ref="V11:V12"/>
    <mergeCell ref="G15:G16"/>
    <mergeCell ref="AE15:AE16"/>
    <mergeCell ref="D19:D20"/>
    <mergeCell ref="R19:R20"/>
    <mergeCell ref="AE19:AE20"/>
    <mergeCell ref="AH27:AH28"/>
    <mergeCell ref="AI27:AI28"/>
    <mergeCell ref="AJ27:AJ28"/>
    <mergeCell ref="AK27:AK28"/>
    <mergeCell ref="AJ25:AJ26"/>
    <mergeCell ref="AK25:AK26"/>
    <mergeCell ref="AO25:AO26"/>
    <mergeCell ref="AP25:AP26"/>
    <mergeCell ref="AL26:AN26"/>
    <mergeCell ref="A27:A28"/>
    <mergeCell ref="B27:B28"/>
    <mergeCell ref="AC25:AC26"/>
    <mergeCell ref="AH25:AH26"/>
    <mergeCell ref="AI25:AI26"/>
    <mergeCell ref="W25:W26"/>
    <mergeCell ref="X25:X26"/>
    <mergeCell ref="Y25:Y26"/>
    <mergeCell ref="Z25:Z26"/>
    <mergeCell ref="AA25:AA26"/>
    <mergeCell ref="AB25:AB26"/>
    <mergeCell ref="V25:V26"/>
    <mergeCell ref="AG25:AG26"/>
    <mergeCell ref="I25:I26"/>
    <mergeCell ref="J25:J26"/>
    <mergeCell ref="K25:K26"/>
    <mergeCell ref="L25:L26"/>
    <mergeCell ref="M25:M26"/>
    <mergeCell ref="N25:N26"/>
    <mergeCell ref="AD25:AD26"/>
    <mergeCell ref="AE25:AE26"/>
    <mergeCell ref="AF25:AF26"/>
    <mergeCell ref="A25:A26"/>
    <mergeCell ref="B25:B26"/>
    <mergeCell ref="C25:C26"/>
    <mergeCell ref="D25:D26"/>
    <mergeCell ref="E25:E26"/>
    <mergeCell ref="F25:F26"/>
    <mergeCell ref="G25:G26"/>
    <mergeCell ref="H25:H26"/>
    <mergeCell ref="AG23:AG24"/>
    <mergeCell ref="AA23:AA24"/>
    <mergeCell ref="AB23:AB24"/>
    <mergeCell ref="AC23:AC24"/>
    <mergeCell ref="AD23:AD24"/>
    <mergeCell ref="AE23:AE24"/>
    <mergeCell ref="AF23:AF24"/>
    <mergeCell ref="U23:U24"/>
    <mergeCell ref="V23:V24"/>
    <mergeCell ref="O25:O26"/>
    <mergeCell ref="P25:P26"/>
    <mergeCell ref="Q25:Q26"/>
    <mergeCell ref="R25:R26"/>
    <mergeCell ref="T25:T26"/>
    <mergeCell ref="U25:U26"/>
    <mergeCell ref="S25:S26"/>
    <mergeCell ref="Z23:Z24"/>
    <mergeCell ref="N23:N24"/>
    <mergeCell ref="O23:O24"/>
    <mergeCell ref="Q23:Q24"/>
    <mergeCell ref="R23:R24"/>
    <mergeCell ref="S23:S24"/>
    <mergeCell ref="T23:T24"/>
    <mergeCell ref="P23:P24"/>
    <mergeCell ref="AP23:AP24"/>
    <mergeCell ref="AL24:AN24"/>
    <mergeCell ref="AH23:AH24"/>
    <mergeCell ref="AI23:AI24"/>
    <mergeCell ref="AJ23:AJ24"/>
    <mergeCell ref="AK23:AK24"/>
    <mergeCell ref="AO23:AO24"/>
    <mergeCell ref="G23:G24"/>
    <mergeCell ref="H23:H24"/>
    <mergeCell ref="I23:I24"/>
    <mergeCell ref="J23:J24"/>
    <mergeCell ref="L23:L24"/>
    <mergeCell ref="M23:M24"/>
    <mergeCell ref="K23:K24"/>
    <mergeCell ref="AK21:AK22"/>
    <mergeCell ref="AO21:AO22"/>
    <mergeCell ref="W21:W22"/>
    <mergeCell ref="X21:X22"/>
    <mergeCell ref="N21:N22"/>
    <mergeCell ref="O21:O22"/>
    <mergeCell ref="P21:P22"/>
    <mergeCell ref="Q21:Q22"/>
    <mergeCell ref="R21:R22"/>
    <mergeCell ref="G21:G22"/>
    <mergeCell ref="H21:H22"/>
    <mergeCell ref="I21:I22"/>
    <mergeCell ref="J21:J22"/>
    <mergeCell ref="K21:K22"/>
    <mergeCell ref="L21:L22"/>
    <mergeCell ref="W23:W24"/>
    <mergeCell ref="X23:X24"/>
    <mergeCell ref="AP21:AP22"/>
    <mergeCell ref="AL22:AN22"/>
    <mergeCell ref="A23:A24"/>
    <mergeCell ref="B23:B24"/>
    <mergeCell ref="C23:C24"/>
    <mergeCell ref="D23:D24"/>
    <mergeCell ref="E23:E24"/>
    <mergeCell ref="F23:F24"/>
    <mergeCell ref="AE21:AE22"/>
    <mergeCell ref="AF21:AF22"/>
    <mergeCell ref="AG21:AG22"/>
    <mergeCell ref="AH21:AH22"/>
    <mergeCell ref="AI21:AI22"/>
    <mergeCell ref="AJ21:AJ22"/>
    <mergeCell ref="Y21:Y22"/>
    <mergeCell ref="Z21:Z22"/>
    <mergeCell ref="AA21:AA22"/>
    <mergeCell ref="AB21:AB22"/>
    <mergeCell ref="AC21:AC22"/>
    <mergeCell ref="AD21:AD22"/>
    <mergeCell ref="S21:S22"/>
    <mergeCell ref="T21:T22"/>
    <mergeCell ref="U21:U22"/>
    <mergeCell ref="V21:V22"/>
    <mergeCell ref="A21:A22"/>
    <mergeCell ref="B21:B22"/>
    <mergeCell ref="C21:C22"/>
    <mergeCell ref="D21:D22"/>
    <mergeCell ref="F21:F22"/>
    <mergeCell ref="AH19:AH20"/>
    <mergeCell ref="AI19:AI20"/>
    <mergeCell ref="AJ19:AJ20"/>
    <mergeCell ref="U19:U20"/>
    <mergeCell ref="V19:V20"/>
    <mergeCell ref="W19:W20"/>
    <mergeCell ref="X19:X20"/>
    <mergeCell ref="Y19:Y20"/>
    <mergeCell ref="Z19:Z20"/>
    <mergeCell ref="N19:N20"/>
    <mergeCell ref="O19:O20"/>
    <mergeCell ref="P19:P20"/>
    <mergeCell ref="Q19:Q20"/>
    <mergeCell ref="S19:S20"/>
    <mergeCell ref="T19:T20"/>
    <mergeCell ref="H19:H20"/>
    <mergeCell ref="I19:I20"/>
    <mergeCell ref="J19:J20"/>
    <mergeCell ref="K19:K20"/>
    <mergeCell ref="AO19:AO20"/>
    <mergeCell ref="AP19:AP20"/>
    <mergeCell ref="AL20:AN20"/>
    <mergeCell ref="AA19:AA20"/>
    <mergeCell ref="AB19:AB20"/>
    <mergeCell ref="AC19:AC20"/>
    <mergeCell ref="AD19:AD20"/>
    <mergeCell ref="AF19:AF20"/>
    <mergeCell ref="AG19:AG20"/>
    <mergeCell ref="M19:M20"/>
    <mergeCell ref="A19:A20"/>
    <mergeCell ref="B19:B20"/>
    <mergeCell ref="C19:C20"/>
    <mergeCell ref="E19:E20"/>
    <mergeCell ref="F19:F20"/>
    <mergeCell ref="G19:G20"/>
    <mergeCell ref="AK19:AK20"/>
    <mergeCell ref="AI17:AI18"/>
    <mergeCell ref="AJ17:AJ18"/>
    <mergeCell ref="AK17:AK18"/>
    <mergeCell ref="AO17:AO18"/>
    <mergeCell ref="AP17:AP18"/>
    <mergeCell ref="AL18:AN18"/>
    <mergeCell ref="AH17:AH18"/>
    <mergeCell ref="AO15:AO16"/>
    <mergeCell ref="AP15:AP16"/>
    <mergeCell ref="AL16:AN16"/>
    <mergeCell ref="A17:A18"/>
    <mergeCell ref="B17:B18"/>
    <mergeCell ref="AF15:AF16"/>
    <mergeCell ref="AG15:AG16"/>
    <mergeCell ref="AH15:AH16"/>
    <mergeCell ref="AI15:AI16"/>
    <mergeCell ref="AJ15:AJ16"/>
    <mergeCell ref="AK15:AK16"/>
    <mergeCell ref="Y15:Y16"/>
    <mergeCell ref="Z15:Z16"/>
    <mergeCell ref="AA15:AA16"/>
    <mergeCell ref="AB15:AB16"/>
    <mergeCell ref="AC15:AC16"/>
    <mergeCell ref="AD15:AD16"/>
    <mergeCell ref="S15:S16"/>
    <mergeCell ref="T15:T16"/>
    <mergeCell ref="U15:U16"/>
    <mergeCell ref="V15:V16"/>
    <mergeCell ref="W15:W16"/>
    <mergeCell ref="X15:X16"/>
    <mergeCell ref="M15:M16"/>
    <mergeCell ref="N15:N16"/>
    <mergeCell ref="O15:O16"/>
    <mergeCell ref="P15:P16"/>
    <mergeCell ref="AK13:AK14"/>
    <mergeCell ref="AO13:AO14"/>
    <mergeCell ref="AP13:AP14"/>
    <mergeCell ref="AL14:AN14"/>
    <mergeCell ref="A15:A16"/>
    <mergeCell ref="B15:B16"/>
    <mergeCell ref="C15:C16"/>
    <mergeCell ref="D15:D16"/>
    <mergeCell ref="E15:E16"/>
    <mergeCell ref="AH13:AH14"/>
    <mergeCell ref="AI13:AI14"/>
    <mergeCell ref="F15:F16"/>
    <mergeCell ref="H15:H16"/>
    <mergeCell ref="I15:I16"/>
    <mergeCell ref="J15:J16"/>
    <mergeCell ref="K15:K16"/>
    <mergeCell ref="L15:L16"/>
    <mergeCell ref="AJ13:AJ14"/>
    <mergeCell ref="AC13:AC14"/>
    <mergeCell ref="AD13:AD14"/>
    <mergeCell ref="U13:U14"/>
    <mergeCell ref="V13:V14"/>
    <mergeCell ref="W13:W14"/>
    <mergeCell ref="O13:O14"/>
    <mergeCell ref="P13:P14"/>
    <mergeCell ref="H13:H14"/>
    <mergeCell ref="AK11:AK12"/>
    <mergeCell ref="AO11:AO12"/>
    <mergeCell ref="AP11:AP12"/>
    <mergeCell ref="AL12:AN12"/>
    <mergeCell ref="A13:A14"/>
    <mergeCell ref="B13:B14"/>
    <mergeCell ref="AE11:AE12"/>
    <mergeCell ref="AF11:AF12"/>
    <mergeCell ref="AG11:AG12"/>
    <mergeCell ref="AH11:AH12"/>
    <mergeCell ref="AI11:AI12"/>
    <mergeCell ref="AJ11:AJ12"/>
    <mergeCell ref="Y11:Y12"/>
    <mergeCell ref="Z11:Z12"/>
    <mergeCell ref="AA11:AA12"/>
    <mergeCell ref="AB11:AB12"/>
    <mergeCell ref="AC11:AC12"/>
    <mergeCell ref="AD11:AD12"/>
    <mergeCell ref="R11:R12"/>
    <mergeCell ref="S11:S12"/>
    <mergeCell ref="T11:T12"/>
    <mergeCell ref="U11:U12"/>
    <mergeCell ref="W11:W12"/>
    <mergeCell ref="X11:X12"/>
    <mergeCell ref="A11:A12"/>
    <mergeCell ref="B11:B12"/>
    <mergeCell ref="D11:D12"/>
    <mergeCell ref="E11:E12"/>
    <mergeCell ref="AH9:AH10"/>
    <mergeCell ref="AI9:AI10"/>
    <mergeCell ref="L11:L12"/>
    <mergeCell ref="M11:M12"/>
    <mergeCell ref="N11:N12"/>
    <mergeCell ref="O11:O12"/>
    <mergeCell ref="P11:P12"/>
    <mergeCell ref="Q11:Q12"/>
    <mergeCell ref="F11:F12"/>
    <mergeCell ref="G11:G12"/>
    <mergeCell ref="H11:H12"/>
    <mergeCell ref="I11:I12"/>
    <mergeCell ref="J11:J12"/>
    <mergeCell ref="K11:K12"/>
    <mergeCell ref="A9:A10"/>
    <mergeCell ref="B9:B10"/>
    <mergeCell ref="W5:W6"/>
    <mergeCell ref="V5:V6"/>
    <mergeCell ref="U5:U6"/>
    <mergeCell ref="AH7:AH8"/>
    <mergeCell ref="AI7:AI8"/>
    <mergeCell ref="AJ9:AJ10"/>
    <mergeCell ref="AK9:AK10"/>
    <mergeCell ref="AO9:AO10"/>
    <mergeCell ref="AP9:AP10"/>
    <mergeCell ref="AL10:AN10"/>
    <mergeCell ref="AO5:AO6"/>
    <mergeCell ref="AP5:AP6"/>
    <mergeCell ref="AL6:AN6"/>
    <mergeCell ref="AO7:AO8"/>
    <mergeCell ref="AP7:AP8"/>
    <mergeCell ref="AL8:AN8"/>
    <mergeCell ref="I13:I14"/>
    <mergeCell ref="G9:G10"/>
    <mergeCell ref="AG7:AG8"/>
    <mergeCell ref="E13:E14"/>
    <mergeCell ref="AG13:AG14"/>
    <mergeCell ref="A1:AP1"/>
    <mergeCell ref="A2:A4"/>
    <mergeCell ref="B2:B4"/>
    <mergeCell ref="C2:AG2"/>
    <mergeCell ref="AH2:AN2"/>
    <mergeCell ref="AO2:AO4"/>
    <mergeCell ref="AP2:AP4"/>
    <mergeCell ref="AH3:AK3"/>
    <mergeCell ref="AL3:AN3"/>
    <mergeCell ref="A7:A8"/>
    <mergeCell ref="B7:B8"/>
    <mergeCell ref="AH5:AH6"/>
    <mergeCell ref="AI5:AI6"/>
    <mergeCell ref="AJ5:AJ6"/>
    <mergeCell ref="AK5:AK6"/>
    <mergeCell ref="A5:A6"/>
    <mergeCell ref="B5:B6"/>
    <mergeCell ref="AJ7:AJ8"/>
    <mergeCell ref="AK7:AK8"/>
  </mergeCells>
  <phoneticPr fontId="8" type="noConversion"/>
  <conditionalFormatting sqref="C3:C28">
    <cfRule type="expression" dxfId="29" priority="2">
      <formula>$C$4="S"</formula>
    </cfRule>
    <cfRule type="expression" dxfId="28" priority="6">
      <formula>$C$4="P"</formula>
    </cfRule>
  </conditionalFormatting>
  <conditionalFormatting sqref="D3:D28">
    <cfRule type="expression" dxfId="27" priority="1">
      <formula>$D$4="G"</formula>
    </cfRule>
  </conditionalFormatting>
  <pageMargins left="0.25138888888888899" right="0.25138888888888899" top="0.55486111111111103" bottom="0.55486111111111103" header="0.29861111111111099" footer="0.29861111111111099"/>
  <pageSetup paperSize="9" scale="68" fitToHeight="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401C3-4EA0-4C9A-A225-2AE52487D84B}">
  <sheetPr>
    <pageSetUpPr fitToPage="1"/>
  </sheetPr>
  <dimension ref="A1:AQ33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H5" sqref="AH5:AH6"/>
    </sheetView>
  </sheetViews>
  <sheetFormatPr defaultColWidth="9" defaultRowHeight="14.25"/>
  <cols>
    <col min="1" max="1" width="6" bestFit="1" customWidth="1"/>
    <col min="2" max="2" width="8.125" customWidth="1"/>
    <col min="3" max="32" width="4.125" customWidth="1"/>
    <col min="33" max="33" width="3.5" bestFit="1" customWidth="1"/>
    <col min="34" max="39" width="5.25" bestFit="1" customWidth="1"/>
    <col min="40" max="40" width="7.125" bestFit="1" customWidth="1"/>
    <col min="41" max="41" width="5.25" customWidth="1"/>
    <col min="42" max="42" width="5.25" bestFit="1" customWidth="1"/>
    <col min="43" max="43" width="8" customWidth="1"/>
  </cols>
  <sheetData>
    <row r="1" spans="1:43" ht="91.5" customHeight="1" thickBot="1">
      <c r="A1" s="142" t="s">
        <v>15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  <c r="AD1" s="142"/>
      <c r="AE1" s="142"/>
      <c r="AF1" s="142"/>
      <c r="AG1" s="142"/>
      <c r="AH1" s="142"/>
      <c r="AI1" s="142"/>
      <c r="AJ1" s="142"/>
      <c r="AK1" s="142"/>
      <c r="AL1" s="142"/>
      <c r="AM1" s="142"/>
      <c r="AN1" s="142"/>
      <c r="AO1" s="142"/>
      <c r="AP1" s="142"/>
      <c r="AQ1" s="142"/>
    </row>
    <row r="2" spans="1:43" ht="40.5" customHeight="1">
      <c r="A2" s="143" t="s">
        <v>0</v>
      </c>
      <c r="B2" s="145" t="s">
        <v>1</v>
      </c>
      <c r="C2" s="147" t="s">
        <v>58</v>
      </c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9" t="s">
        <v>39</v>
      </c>
      <c r="AI2" s="150"/>
      <c r="AJ2" s="150"/>
      <c r="AK2" s="150"/>
      <c r="AL2" s="150"/>
      <c r="AM2" s="150"/>
      <c r="AN2" s="150"/>
      <c r="AO2" s="151"/>
      <c r="AP2" s="152" t="s">
        <v>16</v>
      </c>
      <c r="AQ2" s="155" t="s">
        <v>24</v>
      </c>
    </row>
    <row r="3" spans="1:43">
      <c r="A3" s="144"/>
      <c r="B3" s="146"/>
      <c r="C3" s="51">
        <v>1</v>
      </c>
      <c r="D3" s="51">
        <v>2</v>
      </c>
      <c r="E3" s="51">
        <v>3</v>
      </c>
      <c r="F3" s="47">
        <v>4</v>
      </c>
      <c r="G3" s="47">
        <v>5</v>
      </c>
      <c r="H3" s="51">
        <v>6</v>
      </c>
      <c r="I3" s="51">
        <v>7</v>
      </c>
      <c r="J3" s="51">
        <v>8</v>
      </c>
      <c r="K3" s="51">
        <v>9</v>
      </c>
      <c r="L3" s="51">
        <v>10</v>
      </c>
      <c r="M3" s="47">
        <v>11</v>
      </c>
      <c r="N3" s="47">
        <v>12</v>
      </c>
      <c r="O3" s="51">
        <v>13</v>
      </c>
      <c r="P3" s="51">
        <v>14</v>
      </c>
      <c r="Q3" s="51">
        <v>15</v>
      </c>
      <c r="R3" s="51">
        <v>16</v>
      </c>
      <c r="S3" s="51">
        <v>17</v>
      </c>
      <c r="T3" s="47">
        <v>18</v>
      </c>
      <c r="U3" s="47">
        <v>19</v>
      </c>
      <c r="V3" s="51">
        <v>20</v>
      </c>
      <c r="W3" s="51">
        <v>21</v>
      </c>
      <c r="X3" s="51">
        <v>22</v>
      </c>
      <c r="Y3" s="51">
        <v>23</v>
      </c>
      <c r="Z3" s="51">
        <v>24</v>
      </c>
      <c r="AA3" s="47">
        <v>25</v>
      </c>
      <c r="AB3" s="47">
        <v>26</v>
      </c>
      <c r="AC3" s="51">
        <v>27</v>
      </c>
      <c r="AD3" s="51">
        <v>28</v>
      </c>
      <c r="AE3" s="51">
        <v>29</v>
      </c>
      <c r="AF3" s="51">
        <v>30</v>
      </c>
      <c r="AG3" s="51">
        <v>31</v>
      </c>
      <c r="AH3" s="157" t="s">
        <v>43</v>
      </c>
      <c r="AI3" s="158"/>
      <c r="AJ3" s="158"/>
      <c r="AK3" s="158"/>
      <c r="AL3" s="159"/>
      <c r="AM3" s="160" t="s">
        <v>42</v>
      </c>
      <c r="AN3" s="161"/>
      <c r="AO3" s="162"/>
      <c r="AP3" s="153"/>
      <c r="AQ3" s="156"/>
    </row>
    <row r="4" spans="1:43" ht="15" thickBot="1">
      <c r="A4" s="144"/>
      <c r="B4" s="146"/>
      <c r="C4" s="133" t="s">
        <v>29</v>
      </c>
      <c r="D4" s="133" t="s">
        <v>29</v>
      </c>
      <c r="E4" s="133" t="s">
        <v>29</v>
      </c>
      <c r="F4" s="124" t="s">
        <v>30</v>
      </c>
      <c r="G4" s="124" t="s">
        <v>30</v>
      </c>
      <c r="H4" s="133" t="s">
        <v>29</v>
      </c>
      <c r="I4" s="133" t="s">
        <v>29</v>
      </c>
      <c r="J4" s="133" t="s">
        <v>29</v>
      </c>
      <c r="K4" s="133" t="s">
        <v>29</v>
      </c>
      <c r="L4" s="133" t="s">
        <v>29</v>
      </c>
      <c r="M4" s="124" t="s">
        <v>30</v>
      </c>
      <c r="N4" s="124" t="s">
        <v>30</v>
      </c>
      <c r="O4" s="123" t="s">
        <v>29</v>
      </c>
      <c r="P4" s="123" t="s">
        <v>29</v>
      </c>
      <c r="Q4" s="123" t="s">
        <v>29</v>
      </c>
      <c r="R4" s="123" t="s">
        <v>29</v>
      </c>
      <c r="S4" s="123" t="s">
        <v>29</v>
      </c>
      <c r="T4" s="124" t="s">
        <v>30</v>
      </c>
      <c r="U4" s="124" t="s">
        <v>30</v>
      </c>
      <c r="V4" s="123" t="s">
        <v>29</v>
      </c>
      <c r="W4" s="123" t="s">
        <v>29</v>
      </c>
      <c r="X4" s="123" t="s">
        <v>29</v>
      </c>
      <c r="Y4" s="123" t="s">
        <v>29</v>
      </c>
      <c r="Z4" s="123" t="s">
        <v>29</v>
      </c>
      <c r="AA4" s="124" t="s">
        <v>30</v>
      </c>
      <c r="AB4" s="124" t="s">
        <v>30</v>
      </c>
      <c r="AC4" s="123" t="s">
        <v>29</v>
      </c>
      <c r="AD4" s="123" t="s">
        <v>29</v>
      </c>
      <c r="AE4" s="123" t="s">
        <v>29</v>
      </c>
      <c r="AF4" s="123" t="s">
        <v>29</v>
      </c>
      <c r="AG4" s="123" t="s">
        <v>29</v>
      </c>
      <c r="AH4" s="137" t="s">
        <v>55</v>
      </c>
      <c r="AI4" s="101" t="s">
        <v>38</v>
      </c>
      <c r="AJ4" s="102" t="s">
        <v>44</v>
      </c>
      <c r="AK4" s="102" t="s">
        <v>40</v>
      </c>
      <c r="AL4" s="103" t="s">
        <v>41</v>
      </c>
      <c r="AM4" s="101" t="s">
        <v>26</v>
      </c>
      <c r="AN4" s="102" t="s">
        <v>32</v>
      </c>
      <c r="AO4" s="103" t="s">
        <v>27</v>
      </c>
      <c r="AP4" s="154"/>
      <c r="AQ4" s="156"/>
    </row>
    <row r="5" spans="1:43" s="1" customFormat="1" ht="15.95" customHeight="1">
      <c r="A5" s="174">
        <v>1</v>
      </c>
      <c r="B5" s="176" t="s">
        <v>2</v>
      </c>
      <c r="C5" s="64"/>
      <c r="D5" s="64"/>
      <c r="E5" s="64"/>
      <c r="F5" s="65"/>
      <c r="G5" s="65"/>
      <c r="H5" s="64"/>
      <c r="I5" s="64" t="s">
        <v>21</v>
      </c>
      <c r="J5" s="64"/>
      <c r="K5" s="64"/>
      <c r="L5" s="64"/>
      <c r="M5" s="65"/>
      <c r="N5" s="65"/>
      <c r="O5" s="64"/>
      <c r="P5" s="64"/>
      <c r="Q5" s="64"/>
      <c r="R5" s="64"/>
      <c r="S5" s="64"/>
      <c r="T5" s="65"/>
      <c r="U5" s="283"/>
      <c r="V5" s="178"/>
      <c r="W5" s="178"/>
      <c r="X5" s="64"/>
      <c r="Y5" s="64"/>
      <c r="Z5" s="64"/>
      <c r="AA5" s="65"/>
      <c r="AB5" s="65"/>
      <c r="AC5" s="64"/>
      <c r="AD5" s="64"/>
      <c r="AE5" s="64"/>
      <c r="AF5" s="64"/>
      <c r="AG5" s="128"/>
      <c r="AH5" s="180" cm="1">
        <f t="array" ref="AH5" xml:space="preserve"> -SUMPRODUCT((C5:AG5&lt;&gt;"年") * (C5:AG5&lt;&gt;"调") * (C5:AG5&lt;&gt;"病") * (C5:AG5&lt;&gt;"事") * C6:AG6)</f>
        <v>0</v>
      </c>
      <c r="AI5" s="163">
        <f>-(SUMIF(C5:AG5,"=年",C6:AG6))</f>
        <v>3.5</v>
      </c>
      <c r="AJ5" s="165">
        <f>-(SUMIF(C5:AG5,"=调",C6:AG6))</f>
        <v>0</v>
      </c>
      <c r="AK5" s="165">
        <f>-(SUMIF(C5:AG5,"=病",C6:AG6))</f>
        <v>0</v>
      </c>
      <c r="AL5" s="165">
        <f>-(SUMIF(C5:AG5,"=事",C6:AG6))</f>
        <v>0</v>
      </c>
      <c r="AM5" s="70">
        <f>SUMIF(C4:AG4,"P",C5:AG6)</f>
        <v>0</v>
      </c>
      <c r="AN5" s="67">
        <f>SUMIF(C4:AG4,"S",C5:AG6)</f>
        <v>0</v>
      </c>
      <c r="AO5" s="77">
        <f>SUMIF(C4:AG4,"G",C5:AG6)</f>
        <v>0</v>
      </c>
      <c r="AP5" s="167">
        <f>AI5+'2026-06'!AO5</f>
        <v>31.5</v>
      </c>
      <c r="AQ5" s="169"/>
    </row>
    <row r="6" spans="1:43" s="1" customFormat="1" ht="15.95" customHeight="1">
      <c r="A6" s="175"/>
      <c r="B6" s="177"/>
      <c r="C6" s="16"/>
      <c r="D6" s="16"/>
      <c r="E6" s="8"/>
      <c r="F6" s="19"/>
      <c r="G6" s="19"/>
      <c r="H6" s="8"/>
      <c r="I6" s="8">
        <v>-3.5</v>
      </c>
      <c r="J6" s="8"/>
      <c r="K6" s="8"/>
      <c r="L6" s="8"/>
      <c r="M6" s="19"/>
      <c r="N6" s="19"/>
      <c r="O6" s="8"/>
      <c r="P6" s="8"/>
      <c r="Q6" s="8"/>
      <c r="R6" s="8"/>
      <c r="S6" s="8"/>
      <c r="T6" s="19"/>
      <c r="U6" s="284"/>
      <c r="V6" s="179"/>
      <c r="W6" s="179"/>
      <c r="X6" s="8"/>
      <c r="Y6" s="8"/>
      <c r="Z6" s="8"/>
      <c r="AA6" s="19"/>
      <c r="AB6" s="19"/>
      <c r="AC6" s="8"/>
      <c r="AD6" s="8"/>
      <c r="AE6" s="8"/>
      <c r="AF6" s="8"/>
      <c r="AG6" s="129"/>
      <c r="AH6" s="181"/>
      <c r="AI6" s="164"/>
      <c r="AJ6" s="166"/>
      <c r="AK6" s="166"/>
      <c r="AL6" s="166"/>
      <c r="AM6" s="171" t="str">
        <f>IF(SUM(C5:AG5)-AJ5=0,"√",SUM(C5:AG5)-AJ5)</f>
        <v>√</v>
      </c>
      <c r="AN6" s="172"/>
      <c r="AO6" s="173"/>
      <c r="AP6" s="168"/>
      <c r="AQ6" s="170"/>
    </row>
    <row r="7" spans="1:43" s="1" customFormat="1" ht="15.95" customHeight="1">
      <c r="A7" s="185">
        <v>2</v>
      </c>
      <c r="B7" s="186" t="s">
        <v>3</v>
      </c>
      <c r="C7" s="14"/>
      <c r="D7" s="14"/>
      <c r="E7" s="12"/>
      <c r="F7" s="27"/>
      <c r="G7" s="27"/>
      <c r="H7" s="12"/>
      <c r="I7" s="12"/>
      <c r="J7" s="14"/>
      <c r="K7" s="14"/>
      <c r="L7" s="12"/>
      <c r="M7" s="27"/>
      <c r="N7" s="27"/>
      <c r="O7" s="12"/>
      <c r="P7" s="12"/>
      <c r="Q7" s="12"/>
      <c r="R7" s="12"/>
      <c r="S7" s="12"/>
      <c r="T7" s="27"/>
      <c r="U7" s="27"/>
      <c r="V7" s="12"/>
      <c r="W7" s="12"/>
      <c r="X7" s="12"/>
      <c r="Y7" s="12"/>
      <c r="Z7" s="12"/>
      <c r="AA7" s="27"/>
      <c r="AB7" s="27"/>
      <c r="AC7" s="12"/>
      <c r="AD7" s="12"/>
      <c r="AE7" s="14"/>
      <c r="AF7" s="12"/>
      <c r="AG7" s="187"/>
      <c r="AH7" s="180" cm="1">
        <f t="array" ref="AH7" xml:space="preserve"> -SUMPRODUCT((C7:AG7&lt;&gt;"年") * (C7:AG7&lt;&gt;"调") * (C7:AG7&lt;&gt;"病") * (C7:AG7&lt;&gt;"事") * C8:AG8)</f>
        <v>0</v>
      </c>
      <c r="AI7" s="189">
        <f>-(SUMIF(C7:AG7,"=年",C8:AG8))</f>
        <v>0</v>
      </c>
      <c r="AJ7" s="193">
        <f>-(SUMIF(C7:AG7,"=调",C8:AG8))</f>
        <v>0</v>
      </c>
      <c r="AK7" s="193">
        <f>-(SUMIF(C7:AG7,"=病",C8:AG8))</f>
        <v>0</v>
      </c>
      <c r="AL7" s="193">
        <f>-(SUMIF(C7:AG7,"=事",C8:AG8))</f>
        <v>0</v>
      </c>
      <c r="AM7" s="71">
        <f>SUMIF(C4:AG4,"P",C7:AG8)</f>
        <v>0</v>
      </c>
      <c r="AN7" s="57">
        <f>SUMIF(C4:AG4,"S",C7:AG8)</f>
        <v>0</v>
      </c>
      <c r="AO7" s="78">
        <f>SUMIF(C4:AG4,"G",C7:AG8)</f>
        <v>0</v>
      </c>
      <c r="AP7" s="167">
        <f>AI7+'2026-06'!AO7</f>
        <v>60</v>
      </c>
      <c r="AQ7" s="195"/>
    </row>
    <row r="8" spans="1:43" s="1" customFormat="1" ht="15.95" customHeight="1">
      <c r="A8" s="185"/>
      <c r="B8" s="186"/>
      <c r="C8" s="38"/>
      <c r="D8" s="38"/>
      <c r="E8" s="10"/>
      <c r="F8" s="26"/>
      <c r="G8" s="26"/>
      <c r="H8" s="10"/>
      <c r="I8" s="10"/>
      <c r="J8" s="10"/>
      <c r="K8" s="10"/>
      <c r="L8" s="10"/>
      <c r="M8" s="26"/>
      <c r="N8" s="26"/>
      <c r="O8" s="10"/>
      <c r="P8" s="10"/>
      <c r="Q8" s="10"/>
      <c r="R8" s="10"/>
      <c r="S8" s="10"/>
      <c r="T8" s="26"/>
      <c r="U8" s="26"/>
      <c r="V8" s="10"/>
      <c r="W8" s="10"/>
      <c r="X8" s="10"/>
      <c r="Y8" s="10"/>
      <c r="Z8" s="10"/>
      <c r="AA8" s="26"/>
      <c r="AB8" s="26"/>
      <c r="AC8" s="10"/>
      <c r="AD8" s="10"/>
      <c r="AE8" s="10"/>
      <c r="AF8" s="10"/>
      <c r="AG8" s="188"/>
      <c r="AH8" s="181"/>
      <c r="AI8" s="180"/>
      <c r="AJ8" s="194"/>
      <c r="AK8" s="194"/>
      <c r="AL8" s="194"/>
      <c r="AM8" s="190" t="str">
        <f>IF(SUM(C7:AG7)-AJ7=0,"√",SUM(C7:AG7)-AJ7)</f>
        <v>√</v>
      </c>
      <c r="AN8" s="191"/>
      <c r="AO8" s="192"/>
      <c r="AP8" s="168"/>
      <c r="AQ8" s="196"/>
    </row>
    <row r="9" spans="1:43" s="1" customFormat="1" ht="15.95" customHeight="1">
      <c r="A9" s="182">
        <v>3</v>
      </c>
      <c r="B9" s="183" t="s">
        <v>4</v>
      </c>
      <c r="C9" s="37"/>
      <c r="D9" s="37"/>
      <c r="E9" s="9"/>
      <c r="F9" s="30"/>
      <c r="G9" s="292"/>
      <c r="H9" s="9"/>
      <c r="I9" s="9"/>
      <c r="J9" s="9"/>
      <c r="K9" s="9"/>
      <c r="L9" s="9"/>
      <c r="M9" s="30"/>
      <c r="N9" s="30"/>
      <c r="O9" s="9"/>
      <c r="P9" s="9"/>
      <c r="Q9" s="9"/>
      <c r="R9" s="9"/>
      <c r="S9" s="9"/>
      <c r="T9" s="30"/>
      <c r="U9" s="30"/>
      <c r="V9" s="9"/>
      <c r="W9" s="9"/>
      <c r="X9" s="9"/>
      <c r="Y9" s="9"/>
      <c r="Z9" s="9"/>
      <c r="AA9" s="30"/>
      <c r="AB9" s="30"/>
      <c r="AC9" s="9"/>
      <c r="AD9" s="9"/>
      <c r="AE9" s="37" t="s">
        <v>54</v>
      </c>
      <c r="AF9" s="37" t="s">
        <v>54</v>
      </c>
      <c r="AG9" s="131"/>
      <c r="AH9" s="180" cm="1">
        <f t="array" ref="AH9" xml:space="preserve"> -SUMPRODUCT((C9:AG9&lt;&gt;"年") * (C9:AG9&lt;&gt;"调") * (C9:AG9&lt;&gt;"病") * (C9:AG9&lt;&gt;"事") * C10:AG10)</f>
        <v>5.5</v>
      </c>
      <c r="AI9" s="164">
        <f>-(SUMIF(C9:AG9,"=年",C10:AG10))</f>
        <v>0</v>
      </c>
      <c r="AJ9" s="166">
        <f>-(SUMIF(C9:AG9,"=调",C10:AG10))</f>
        <v>0</v>
      </c>
      <c r="AK9" s="166">
        <f>-(SUMIF(C9:AG9,"=病",C10:AG10))</f>
        <v>0</v>
      </c>
      <c r="AL9" s="166">
        <f>-(SUMIF(C9:AG9,"=事",C10:AG10))</f>
        <v>0</v>
      </c>
      <c r="AM9" s="72">
        <f>SUMIF(C4:AG4,"P",C9:AG10)</f>
        <v>0</v>
      </c>
      <c r="AN9" s="68">
        <f>SUMIF(C4:AG4,"S",C9:AG10)</f>
        <v>0</v>
      </c>
      <c r="AO9" s="79">
        <f>SUMIF(C4:AG4,"G",C9:AG10)</f>
        <v>0</v>
      </c>
      <c r="AP9" s="167">
        <f>AI9+'2026-06'!AO9</f>
        <v>34</v>
      </c>
      <c r="AQ9" s="170"/>
    </row>
    <row r="10" spans="1:43" s="1" customFormat="1" ht="15.95" customHeight="1">
      <c r="A10" s="175"/>
      <c r="B10" s="177"/>
      <c r="C10" s="37"/>
      <c r="D10" s="37"/>
      <c r="E10" s="9"/>
      <c r="F10" s="30"/>
      <c r="G10" s="284"/>
      <c r="H10" s="9"/>
      <c r="I10" s="9"/>
      <c r="J10" s="9"/>
      <c r="K10" s="9"/>
      <c r="L10" s="9"/>
      <c r="M10" s="30"/>
      <c r="N10" s="30"/>
      <c r="O10" s="6"/>
      <c r="P10" s="10"/>
      <c r="Q10" s="9"/>
      <c r="R10" s="9"/>
      <c r="S10" s="9"/>
      <c r="T10" s="30"/>
      <c r="U10" s="30"/>
      <c r="V10" s="9"/>
      <c r="W10" s="9"/>
      <c r="X10" s="9"/>
      <c r="Y10" s="9"/>
      <c r="Z10" s="9"/>
      <c r="AA10" s="30"/>
      <c r="AB10" s="30"/>
      <c r="AC10" s="9"/>
      <c r="AD10" s="9"/>
      <c r="AE10" s="9">
        <v>-4</v>
      </c>
      <c r="AF10" s="9">
        <v>-1.5</v>
      </c>
      <c r="AG10" s="131"/>
      <c r="AH10" s="181"/>
      <c r="AI10" s="164"/>
      <c r="AJ10" s="166"/>
      <c r="AK10" s="166"/>
      <c r="AL10" s="166"/>
      <c r="AM10" s="190" t="str">
        <f>IF(SUM(C9:AG9)-AJ9=0,"√",SUM(C9:AG9)-AJ9)</f>
        <v>√</v>
      </c>
      <c r="AN10" s="191"/>
      <c r="AO10" s="192"/>
      <c r="AP10" s="168"/>
      <c r="AQ10" s="170"/>
    </row>
    <row r="11" spans="1:43" s="1" customFormat="1" ht="15.95" customHeight="1">
      <c r="A11" s="185">
        <v>4</v>
      </c>
      <c r="B11" s="186" t="s">
        <v>5</v>
      </c>
      <c r="C11" s="11"/>
      <c r="D11" s="197"/>
      <c r="E11" s="197"/>
      <c r="F11" s="281">
        <v>8.5</v>
      </c>
      <c r="G11" s="281">
        <v>8.5</v>
      </c>
      <c r="H11" s="197"/>
      <c r="I11" s="197"/>
      <c r="J11" s="197"/>
      <c r="K11" s="197"/>
      <c r="L11" s="197"/>
      <c r="M11" s="281"/>
      <c r="N11" s="281">
        <v>8.5</v>
      </c>
      <c r="O11" s="199"/>
      <c r="P11" s="199"/>
      <c r="Q11" s="197"/>
      <c r="R11" s="197"/>
      <c r="S11" s="197"/>
      <c r="T11" s="281">
        <v>8.5</v>
      </c>
      <c r="U11" s="281">
        <v>8.5</v>
      </c>
      <c r="V11" s="197"/>
      <c r="W11" s="197"/>
      <c r="X11" s="197">
        <v>3</v>
      </c>
      <c r="Y11" s="197">
        <v>3</v>
      </c>
      <c r="Z11" s="197">
        <v>3</v>
      </c>
      <c r="AA11" s="281">
        <v>11.5</v>
      </c>
      <c r="AB11" s="281">
        <v>8.5</v>
      </c>
      <c r="AC11" s="197"/>
      <c r="AD11" s="197"/>
      <c r="AE11" s="197"/>
      <c r="AF11" s="197"/>
      <c r="AG11" s="187"/>
      <c r="AH11" s="180" cm="1">
        <f t="array" ref="AH11" xml:space="preserve"> -SUMPRODUCT((C11:AG11&lt;&gt;"年") * (C11:AG11&lt;&gt;"调") * (C11:AG11&lt;&gt;"病") * (C11:AG11&lt;&gt;"事") * C12:AG12)</f>
        <v>0</v>
      </c>
      <c r="AI11" s="189">
        <f>-(SUMIF(C11:AG11,"=年",C12:AG12))</f>
        <v>0</v>
      </c>
      <c r="AJ11" s="193">
        <f>-(SUMIF(C11:AG11,"=调",C12:AG12))</f>
        <v>0</v>
      </c>
      <c r="AK11" s="193">
        <f>-(SUMIF(C11:AG11,"=病",C12:AG12))</f>
        <v>0</v>
      </c>
      <c r="AL11" s="193">
        <f>-(SUMIF(C11:AG11,"=事",C12:AG12))</f>
        <v>0</v>
      </c>
      <c r="AM11" s="71">
        <f>SUMIF(C4:AG4,"P",C11:AG12)</f>
        <v>9</v>
      </c>
      <c r="AN11" s="46">
        <f>SUMIF(C4:AG4,"S",C11:AG12)</f>
        <v>62.5</v>
      </c>
      <c r="AO11" s="78">
        <f>SUMIF(C4:AG4,"G",C11:AG12)</f>
        <v>0</v>
      </c>
      <c r="AP11" s="167">
        <f>AI11+'2026-06'!AO11</f>
        <v>4</v>
      </c>
      <c r="AQ11" s="195"/>
    </row>
    <row r="12" spans="1:43" s="1" customFormat="1" ht="15.95" customHeight="1">
      <c r="A12" s="185"/>
      <c r="B12" s="186"/>
      <c r="C12" s="15"/>
      <c r="D12" s="198"/>
      <c r="E12" s="198"/>
      <c r="F12" s="282"/>
      <c r="G12" s="282"/>
      <c r="H12" s="198"/>
      <c r="I12" s="198"/>
      <c r="J12" s="198"/>
      <c r="K12" s="198"/>
      <c r="L12" s="198"/>
      <c r="M12" s="282"/>
      <c r="N12" s="282"/>
      <c r="O12" s="179"/>
      <c r="P12" s="179"/>
      <c r="Q12" s="198"/>
      <c r="R12" s="198"/>
      <c r="S12" s="198"/>
      <c r="T12" s="282"/>
      <c r="U12" s="282"/>
      <c r="V12" s="198"/>
      <c r="W12" s="198"/>
      <c r="X12" s="198"/>
      <c r="Y12" s="198"/>
      <c r="Z12" s="198"/>
      <c r="AA12" s="282"/>
      <c r="AB12" s="282"/>
      <c r="AC12" s="198"/>
      <c r="AD12" s="198"/>
      <c r="AE12" s="198"/>
      <c r="AF12" s="198"/>
      <c r="AG12" s="188"/>
      <c r="AH12" s="181"/>
      <c r="AI12" s="180"/>
      <c r="AJ12" s="194"/>
      <c r="AK12" s="194"/>
      <c r="AL12" s="194"/>
      <c r="AM12" s="190">
        <f>IF(SUM(C11:AG11)-AJ11=0,"√",SUM(C11:AG11)-AJ11)</f>
        <v>71.5</v>
      </c>
      <c r="AN12" s="191"/>
      <c r="AO12" s="200"/>
      <c r="AP12" s="168"/>
      <c r="AQ12" s="196"/>
    </row>
    <row r="13" spans="1:43" s="1" customFormat="1" ht="15.95" customHeight="1">
      <c r="A13" s="182">
        <v>5</v>
      </c>
      <c r="B13" s="183" t="s">
        <v>6</v>
      </c>
      <c r="C13" s="11"/>
      <c r="D13" s="11"/>
      <c r="E13" s="197"/>
      <c r="F13" s="281">
        <v>8.5</v>
      </c>
      <c r="G13" s="281">
        <v>8.5</v>
      </c>
      <c r="H13" s="197"/>
      <c r="I13" s="197"/>
      <c r="J13" s="11"/>
      <c r="K13" s="11"/>
      <c r="L13" s="11"/>
      <c r="M13" s="281">
        <v>8.5</v>
      </c>
      <c r="N13" s="281">
        <v>8.5</v>
      </c>
      <c r="O13" s="199"/>
      <c r="P13" s="199"/>
      <c r="Q13" s="11" t="s">
        <v>22</v>
      </c>
      <c r="R13" s="11" t="s">
        <v>22</v>
      </c>
      <c r="S13" s="11" t="s">
        <v>22</v>
      </c>
      <c r="T13" s="22"/>
      <c r="U13" s="289"/>
      <c r="V13" s="199"/>
      <c r="W13" s="199"/>
      <c r="X13" s="11" t="s">
        <v>22</v>
      </c>
      <c r="Y13" s="11"/>
      <c r="Z13" s="11"/>
      <c r="AA13" s="281">
        <v>8.5</v>
      </c>
      <c r="AB13" s="281">
        <v>11.5</v>
      </c>
      <c r="AC13" s="18" t="s">
        <v>22</v>
      </c>
      <c r="AD13" s="197"/>
      <c r="AE13" s="11"/>
      <c r="AF13" s="11"/>
      <c r="AG13" s="187"/>
      <c r="AH13" s="180" cm="1">
        <f t="array" ref="AH13" xml:space="preserve"> -SUMPRODUCT((C13:AG13&lt;&gt;"年") * (C13:AG13&lt;&gt;"调") * (C13:AG13&lt;&gt;"病") * (C13:AG13&lt;&gt;"事") * C14:AG14)</f>
        <v>0</v>
      </c>
      <c r="AI13" s="164">
        <f>-(SUMIF(C13:AG13,"=年",C14:AG14))</f>
        <v>0</v>
      </c>
      <c r="AJ13" s="166">
        <f>-(SUMIF(C13:AG13,"=调",C14:AG14))</f>
        <v>31</v>
      </c>
      <c r="AK13" s="166">
        <f>-(SUMIF(C13:AG13,"=病",C14:AG14))</f>
        <v>0</v>
      </c>
      <c r="AL13" s="166">
        <f>-(SUMIF(C13:AG13,"=事",C14:AG14))</f>
        <v>0</v>
      </c>
      <c r="AM13" s="72">
        <f>SUMIF(C4:AG4,"P",C13:AG14)</f>
        <v>0</v>
      </c>
      <c r="AN13" s="68">
        <f>SUMIF(C4:AG4,"S",C13:AG14)</f>
        <v>54</v>
      </c>
      <c r="AO13" s="79">
        <f>SUMIF(C4:AG4,"G",C13:AG14)</f>
        <v>0</v>
      </c>
      <c r="AP13" s="167">
        <f>AI13+'2026-06'!AO13</f>
        <v>21.5</v>
      </c>
      <c r="AQ13" s="201"/>
    </row>
    <row r="14" spans="1:43" s="1" customFormat="1" ht="15.95" customHeight="1">
      <c r="A14" s="175"/>
      <c r="B14" s="177"/>
      <c r="C14" s="15"/>
      <c r="D14" s="15"/>
      <c r="E14" s="198"/>
      <c r="F14" s="282"/>
      <c r="G14" s="282"/>
      <c r="H14" s="198"/>
      <c r="I14" s="198"/>
      <c r="J14" s="15"/>
      <c r="K14" s="15"/>
      <c r="L14" s="15"/>
      <c r="M14" s="282"/>
      <c r="N14" s="282"/>
      <c r="O14" s="179"/>
      <c r="P14" s="179"/>
      <c r="Q14" s="15">
        <v>-8</v>
      </c>
      <c r="R14" s="15">
        <v>-8</v>
      </c>
      <c r="S14" s="15">
        <v>-8</v>
      </c>
      <c r="T14" s="35"/>
      <c r="U14" s="284"/>
      <c r="V14" s="179"/>
      <c r="W14" s="179"/>
      <c r="X14" s="15">
        <v>-4</v>
      </c>
      <c r="Y14" s="15"/>
      <c r="Z14" s="15"/>
      <c r="AA14" s="282"/>
      <c r="AB14" s="282"/>
      <c r="AC14" s="50">
        <v>-3</v>
      </c>
      <c r="AD14" s="198"/>
      <c r="AE14" s="15"/>
      <c r="AF14" s="15"/>
      <c r="AG14" s="188"/>
      <c r="AH14" s="181"/>
      <c r="AI14" s="164"/>
      <c r="AJ14" s="166"/>
      <c r="AK14" s="166"/>
      <c r="AL14" s="166"/>
      <c r="AM14" s="171">
        <f>IF(SUM(C13:AG13)-AJ13=0,"√",SUM(C13:AG13)-AJ13)</f>
        <v>23</v>
      </c>
      <c r="AN14" s="172"/>
      <c r="AO14" s="173"/>
      <c r="AP14" s="168"/>
      <c r="AQ14" s="201"/>
    </row>
    <row r="15" spans="1:43" s="1" customFormat="1" ht="15.95" customHeight="1">
      <c r="A15" s="185">
        <v>6</v>
      </c>
      <c r="B15" s="186" t="s">
        <v>7</v>
      </c>
      <c r="C15" s="197">
        <v>3</v>
      </c>
      <c r="D15" s="197"/>
      <c r="E15" s="197"/>
      <c r="F15" s="281">
        <v>8.5</v>
      </c>
      <c r="G15" s="281">
        <v>8.5</v>
      </c>
      <c r="H15" s="197">
        <v>3</v>
      </c>
      <c r="I15" s="197"/>
      <c r="J15" s="197"/>
      <c r="K15" s="197"/>
      <c r="L15" s="197"/>
      <c r="M15" s="281">
        <v>8.5</v>
      </c>
      <c r="N15" s="281">
        <v>8.5</v>
      </c>
      <c r="O15" s="199"/>
      <c r="P15" s="199"/>
      <c r="Q15" s="197">
        <v>3</v>
      </c>
      <c r="R15" s="197">
        <v>3</v>
      </c>
      <c r="S15" s="197"/>
      <c r="T15" s="281">
        <v>8.5</v>
      </c>
      <c r="U15" s="281">
        <v>8.5</v>
      </c>
      <c r="V15" s="204"/>
      <c r="W15" s="197">
        <v>3</v>
      </c>
      <c r="X15" s="197">
        <v>3</v>
      </c>
      <c r="Y15" s="197">
        <v>3</v>
      </c>
      <c r="Z15" s="197">
        <v>3</v>
      </c>
      <c r="AA15" s="281">
        <v>11.5</v>
      </c>
      <c r="AB15" s="281">
        <v>8.5</v>
      </c>
      <c r="AC15" s="197"/>
      <c r="AD15" s="197"/>
      <c r="AE15" s="197"/>
      <c r="AF15" s="197"/>
      <c r="AG15" s="187"/>
      <c r="AH15" s="180" cm="1">
        <f t="array" ref="AH15" xml:space="preserve"> -SUMPRODUCT((C15:AG15&lt;&gt;"年") * (C15:AG15&lt;&gt;"调") * (C15:AG15&lt;&gt;"病") * (C15:AG15&lt;&gt;"事") * C16:AG16)</f>
        <v>0</v>
      </c>
      <c r="AI15" s="189">
        <f>-(SUMIF(C15:AG15,"=年",C16:AG16))</f>
        <v>0</v>
      </c>
      <c r="AJ15" s="193">
        <f>-(SUMIF(C15:AG15,"=调",C16:AG16))</f>
        <v>0</v>
      </c>
      <c r="AK15" s="193">
        <f>-(SUMIF(C15:AG15,"=病",C16:AG16))</f>
        <v>0</v>
      </c>
      <c r="AL15" s="193">
        <f>-(SUMIF(C15:AG15,"=事",C16:AG16))</f>
        <v>0</v>
      </c>
      <c r="AM15" s="71">
        <f>SUMIF(C4:AG4,"P",C15:AG16)</f>
        <v>24</v>
      </c>
      <c r="AN15" s="46">
        <f>SUMIF(C4:AG4,"S",C15:AG16)</f>
        <v>71</v>
      </c>
      <c r="AO15" s="78">
        <f>SUMIF(C4:AG4,"G",C15:AG16)</f>
        <v>0</v>
      </c>
      <c r="AP15" s="167">
        <f>AI15+'2026-06'!AO15</f>
        <v>15</v>
      </c>
      <c r="AQ15" s="202" t="s">
        <v>59</v>
      </c>
    </row>
    <row r="16" spans="1:43" s="1" customFormat="1" ht="15.95" customHeight="1">
      <c r="A16" s="185"/>
      <c r="B16" s="186"/>
      <c r="C16" s="198"/>
      <c r="D16" s="198"/>
      <c r="E16" s="198"/>
      <c r="F16" s="282"/>
      <c r="G16" s="282"/>
      <c r="H16" s="198"/>
      <c r="I16" s="198"/>
      <c r="J16" s="198"/>
      <c r="K16" s="198"/>
      <c r="L16" s="198"/>
      <c r="M16" s="282"/>
      <c r="N16" s="282"/>
      <c r="O16" s="179"/>
      <c r="P16" s="179"/>
      <c r="Q16" s="198"/>
      <c r="R16" s="198"/>
      <c r="S16" s="198"/>
      <c r="T16" s="282"/>
      <c r="U16" s="282"/>
      <c r="V16" s="179"/>
      <c r="W16" s="198"/>
      <c r="X16" s="198"/>
      <c r="Y16" s="198"/>
      <c r="Z16" s="198"/>
      <c r="AA16" s="282"/>
      <c r="AB16" s="282"/>
      <c r="AC16" s="198"/>
      <c r="AD16" s="198"/>
      <c r="AE16" s="198"/>
      <c r="AF16" s="198"/>
      <c r="AG16" s="188"/>
      <c r="AH16" s="181"/>
      <c r="AI16" s="180"/>
      <c r="AJ16" s="194"/>
      <c r="AK16" s="194"/>
      <c r="AL16" s="194"/>
      <c r="AM16" s="190">
        <f>IF(SUM(C15:AG15)-AJ15=0,"√",SUM(C15:AG15)-AJ15)</f>
        <v>95</v>
      </c>
      <c r="AN16" s="191"/>
      <c r="AO16" s="200"/>
      <c r="AP16" s="168"/>
      <c r="AQ16" s="203"/>
    </row>
    <row r="17" spans="1:43" s="1" customFormat="1" ht="15.95" customHeight="1">
      <c r="A17" s="182">
        <v>7</v>
      </c>
      <c r="B17" s="183" t="s">
        <v>8</v>
      </c>
      <c r="C17" s="37"/>
      <c r="D17" s="37"/>
      <c r="E17" s="9"/>
      <c r="F17" s="30"/>
      <c r="G17" s="52"/>
      <c r="H17" s="9"/>
      <c r="I17" s="9"/>
      <c r="J17" s="9"/>
      <c r="K17" s="9"/>
      <c r="L17" s="9"/>
      <c r="M17" s="30"/>
      <c r="N17" s="30"/>
      <c r="O17" s="8"/>
      <c r="P17" s="9"/>
      <c r="Q17" s="9"/>
      <c r="R17" s="37" t="s">
        <v>21</v>
      </c>
      <c r="S17" s="9"/>
      <c r="T17" s="30"/>
      <c r="U17" s="30"/>
      <c r="V17" s="9"/>
      <c r="W17" s="9"/>
      <c r="X17" s="9"/>
      <c r="Y17" s="9"/>
      <c r="Z17" s="9"/>
      <c r="AA17" s="30"/>
      <c r="AB17" s="30"/>
      <c r="AC17" s="9"/>
      <c r="AD17" s="9"/>
      <c r="AE17" s="9"/>
      <c r="AF17" s="9"/>
      <c r="AG17" s="131"/>
      <c r="AH17" s="180" cm="1">
        <f t="array" ref="AH17" xml:space="preserve"> -SUMPRODUCT((C17:AG17&lt;&gt;"年") * (C17:AG17&lt;&gt;"调") * (C17:AG17&lt;&gt;"病") * (C17:AG17&lt;&gt;"事") * C18:AG18)</f>
        <v>0</v>
      </c>
      <c r="AI17" s="164">
        <f>-(SUMIF(C17:AG17,"=年",C18:AG18))</f>
        <v>4</v>
      </c>
      <c r="AJ17" s="166">
        <f>-(SUMIF(C17:AG17,"=调",C18:AG18))</f>
        <v>0</v>
      </c>
      <c r="AK17" s="166">
        <f>-(SUMIF(C17:AG17,"=病",C18:AG18))</f>
        <v>0</v>
      </c>
      <c r="AL17" s="166">
        <f>-(SUMIF(C17:AG17,"=事",C18:AG18))</f>
        <v>0</v>
      </c>
      <c r="AM17" s="72">
        <f>SUMIF(C4:AG4,"P",C17:AG18)</f>
        <v>0</v>
      </c>
      <c r="AN17" s="68">
        <f>SUMIF(C4:AG4,"S",C17:AG18)</f>
        <v>0</v>
      </c>
      <c r="AO17" s="79">
        <f>SUMIF(C4:AG4,"G",C17:AG18)</f>
        <v>0</v>
      </c>
      <c r="AP17" s="167">
        <f>AI17+'2026-06'!AO17</f>
        <v>25</v>
      </c>
      <c r="AQ17" s="170"/>
    </row>
    <row r="18" spans="1:43" s="1" customFormat="1" ht="15.95" customHeight="1">
      <c r="A18" s="175"/>
      <c r="B18" s="177"/>
      <c r="C18" s="37"/>
      <c r="D18" s="37"/>
      <c r="E18" s="9"/>
      <c r="F18" s="30"/>
      <c r="G18" s="30"/>
      <c r="H18" s="9"/>
      <c r="I18" s="9"/>
      <c r="J18" s="9"/>
      <c r="K18" s="9"/>
      <c r="L18" s="9"/>
      <c r="M18" s="30"/>
      <c r="N18" s="30"/>
      <c r="O18" s="6"/>
      <c r="P18" s="10"/>
      <c r="Q18" s="9"/>
      <c r="R18" s="9">
        <v>-4</v>
      </c>
      <c r="S18" s="9"/>
      <c r="T18" s="30"/>
      <c r="U18" s="30"/>
      <c r="V18" s="9"/>
      <c r="W18" s="9"/>
      <c r="X18" s="9"/>
      <c r="Y18" s="9"/>
      <c r="Z18" s="9"/>
      <c r="AA18" s="30"/>
      <c r="AB18" s="30"/>
      <c r="AC18" s="9"/>
      <c r="AD18" s="9"/>
      <c r="AE18" s="9"/>
      <c r="AF18" s="9"/>
      <c r="AG18" s="131"/>
      <c r="AH18" s="181"/>
      <c r="AI18" s="164"/>
      <c r="AJ18" s="166"/>
      <c r="AK18" s="166"/>
      <c r="AL18" s="166"/>
      <c r="AM18" s="171" t="str">
        <f>IF(SUM(C17:AG17)-AJ17=0,"√",SUM(C17:AG17)-AJ17)</f>
        <v>√</v>
      </c>
      <c r="AN18" s="172"/>
      <c r="AO18" s="173"/>
      <c r="AP18" s="168"/>
      <c r="AQ18" s="170"/>
    </row>
    <row r="19" spans="1:43" s="1" customFormat="1" ht="15.95" customHeight="1">
      <c r="A19" s="185">
        <v>8</v>
      </c>
      <c r="B19" s="186" t="s">
        <v>9</v>
      </c>
      <c r="C19" s="197"/>
      <c r="D19" s="197"/>
      <c r="E19" s="197"/>
      <c r="F19" s="281">
        <v>8.5</v>
      </c>
      <c r="G19" s="281"/>
      <c r="H19" s="197">
        <v>3</v>
      </c>
      <c r="I19" s="18" t="s">
        <v>21</v>
      </c>
      <c r="J19" s="197"/>
      <c r="K19" s="197"/>
      <c r="L19" s="11"/>
      <c r="M19" s="281">
        <v>8.5</v>
      </c>
      <c r="N19" s="281">
        <v>8.5</v>
      </c>
      <c r="O19" s="199"/>
      <c r="P19" s="199"/>
      <c r="Q19" s="197"/>
      <c r="R19" s="197"/>
      <c r="S19" s="197"/>
      <c r="T19" s="281">
        <v>8.5</v>
      </c>
      <c r="U19" s="281">
        <v>8.5</v>
      </c>
      <c r="V19" s="18" t="s">
        <v>21</v>
      </c>
      <c r="W19" s="197"/>
      <c r="X19" s="197">
        <v>3</v>
      </c>
      <c r="Y19" s="197"/>
      <c r="Z19" s="197">
        <v>3</v>
      </c>
      <c r="AA19" s="281">
        <v>8.5</v>
      </c>
      <c r="AB19" s="281">
        <v>11.5</v>
      </c>
      <c r="AC19" s="197"/>
      <c r="AD19" s="197"/>
      <c r="AE19" s="197"/>
      <c r="AF19" s="197"/>
      <c r="AG19" s="187"/>
      <c r="AH19" s="180" cm="1">
        <f t="array" ref="AH19" xml:space="preserve"> -SUMPRODUCT((C19:AG19&lt;&gt;"年") * (C19:AG19&lt;&gt;"调") * (C19:AG19&lt;&gt;"病") * (C19:AG19&lt;&gt;"事") * C20:AG20)</f>
        <v>0</v>
      </c>
      <c r="AI19" s="189">
        <f>-(SUMIF(C19:AG19,"=年",C20:AG20))</f>
        <v>16</v>
      </c>
      <c r="AJ19" s="193">
        <f>-(SUMIF(C19:AG19,"=调",C20:AG20))</f>
        <v>0</v>
      </c>
      <c r="AK19" s="193">
        <f>-(SUMIF(C19:AG19,"=病",C20:AG20))</f>
        <v>0</v>
      </c>
      <c r="AL19" s="193">
        <f>-(SUMIF(C19:AG19,"=事",C20:AG20))</f>
        <v>0</v>
      </c>
      <c r="AM19" s="71">
        <f>SUMIF(C4:AG4,"P",C19:AG20)</f>
        <v>9</v>
      </c>
      <c r="AN19" s="46">
        <f>SUMIF(C4:AG4,"S",C19:AG20)</f>
        <v>62.5</v>
      </c>
      <c r="AO19" s="78">
        <f>SUMIF(C4:AG4,"G",C19:AG20)</f>
        <v>0</v>
      </c>
      <c r="AP19" s="167">
        <f>AI19+'2026-06'!AO19</f>
        <v>26.5</v>
      </c>
      <c r="AQ19" s="205"/>
    </row>
    <row r="20" spans="1:43" s="1" customFormat="1" ht="15.95" customHeight="1">
      <c r="A20" s="185"/>
      <c r="B20" s="186"/>
      <c r="C20" s="198"/>
      <c r="D20" s="198"/>
      <c r="E20" s="198"/>
      <c r="F20" s="282"/>
      <c r="G20" s="282"/>
      <c r="H20" s="198"/>
      <c r="I20" s="50">
        <v>-8</v>
      </c>
      <c r="J20" s="198"/>
      <c r="K20" s="198"/>
      <c r="L20" s="15"/>
      <c r="M20" s="282"/>
      <c r="N20" s="282"/>
      <c r="O20" s="179"/>
      <c r="P20" s="179"/>
      <c r="Q20" s="198"/>
      <c r="R20" s="198"/>
      <c r="S20" s="198"/>
      <c r="T20" s="282"/>
      <c r="U20" s="282"/>
      <c r="V20" s="50">
        <v>-8</v>
      </c>
      <c r="W20" s="198"/>
      <c r="X20" s="198"/>
      <c r="Y20" s="198"/>
      <c r="Z20" s="198"/>
      <c r="AA20" s="282"/>
      <c r="AB20" s="282"/>
      <c r="AC20" s="198"/>
      <c r="AD20" s="198"/>
      <c r="AE20" s="198"/>
      <c r="AF20" s="198"/>
      <c r="AG20" s="188"/>
      <c r="AH20" s="181"/>
      <c r="AI20" s="180"/>
      <c r="AJ20" s="194"/>
      <c r="AK20" s="194"/>
      <c r="AL20" s="194"/>
      <c r="AM20" s="190">
        <f>IF(SUM(C19:AG19)-AJ19=0,"√",SUM(C19:AG19)-AJ19)</f>
        <v>71.5</v>
      </c>
      <c r="AN20" s="191"/>
      <c r="AO20" s="200"/>
      <c r="AP20" s="168"/>
      <c r="AQ20" s="206"/>
    </row>
    <row r="21" spans="1:43" s="1" customFormat="1" ht="15.95" customHeight="1">
      <c r="A21" s="182">
        <v>9</v>
      </c>
      <c r="B21" s="183" t="s">
        <v>11</v>
      </c>
      <c r="C21" s="18" t="s">
        <v>21</v>
      </c>
      <c r="D21" s="197"/>
      <c r="E21" s="11"/>
      <c r="F21" s="281">
        <v>8.5</v>
      </c>
      <c r="G21" s="281">
        <v>8.5</v>
      </c>
      <c r="H21" s="197"/>
      <c r="I21" s="197"/>
      <c r="J21" s="197"/>
      <c r="K21" s="197"/>
      <c r="L21" s="197"/>
      <c r="M21" s="281">
        <v>8.5</v>
      </c>
      <c r="N21" s="281"/>
      <c r="O21" s="54" t="s">
        <v>21</v>
      </c>
      <c r="P21" s="54" t="s">
        <v>21</v>
      </c>
      <c r="Q21" s="54" t="s">
        <v>21</v>
      </c>
      <c r="R21" s="197"/>
      <c r="S21" s="197"/>
      <c r="T21" s="281">
        <v>8.5</v>
      </c>
      <c r="U21" s="281">
        <v>8.5</v>
      </c>
      <c r="V21" s="199"/>
      <c r="W21" s="197"/>
      <c r="X21" s="197">
        <v>3</v>
      </c>
      <c r="Y21" s="197">
        <v>3</v>
      </c>
      <c r="Z21" s="197"/>
      <c r="AA21" s="281">
        <v>11.5</v>
      </c>
      <c r="AB21" s="281">
        <v>11.5</v>
      </c>
      <c r="AC21" s="197"/>
      <c r="AD21" s="18" t="s">
        <v>21</v>
      </c>
      <c r="AE21" s="197"/>
      <c r="AF21" s="197"/>
      <c r="AG21" s="187"/>
      <c r="AH21" s="180" cm="1">
        <f t="array" ref="AH21" xml:space="preserve"> -SUMPRODUCT((C21:AG21&lt;&gt;"年") * (C21:AG21&lt;&gt;"调") * (C21:AG21&lt;&gt;"病") * (C21:AG21&lt;&gt;"事") * C22:AG22)</f>
        <v>0</v>
      </c>
      <c r="AI21" s="164">
        <f>-(SUMIF(C21:AG21,"=年",C22:AG22))</f>
        <v>31</v>
      </c>
      <c r="AJ21" s="166">
        <f>-(SUMIF(C21:AG21,"=调",C22:AG22))</f>
        <v>0</v>
      </c>
      <c r="AK21" s="166">
        <f>-(SUMIF(C21:AG21,"=病",C22:AG22))</f>
        <v>0</v>
      </c>
      <c r="AL21" s="166">
        <f>-(SUMIF(C21:AG21,"=事",C22:AG22))</f>
        <v>0</v>
      </c>
      <c r="AM21" s="72">
        <f>SUMIF(C4:AG4,"P",C21:AG22)</f>
        <v>6</v>
      </c>
      <c r="AN21" s="68">
        <f>SUMIF(C4:AG4,"S",C21:AG22)</f>
        <v>65.5</v>
      </c>
      <c r="AO21" s="79">
        <f>SUMIF(C4:AG4,"G",C21:AG22)</f>
        <v>0</v>
      </c>
      <c r="AP21" s="167">
        <f>AI21+'2026-06'!AO21</f>
        <v>37</v>
      </c>
      <c r="AQ21" s="201"/>
    </row>
    <row r="22" spans="1:43" s="1" customFormat="1" ht="15.95" customHeight="1">
      <c r="A22" s="175"/>
      <c r="B22" s="177"/>
      <c r="C22" s="50">
        <v>-4</v>
      </c>
      <c r="D22" s="198"/>
      <c r="E22" s="15"/>
      <c r="F22" s="282"/>
      <c r="G22" s="282"/>
      <c r="H22" s="198"/>
      <c r="I22" s="198"/>
      <c r="J22" s="198"/>
      <c r="K22" s="198"/>
      <c r="L22" s="198"/>
      <c r="M22" s="282"/>
      <c r="N22" s="282"/>
      <c r="O22" s="17">
        <v>-8</v>
      </c>
      <c r="P22" s="17">
        <v>-8</v>
      </c>
      <c r="Q22" s="17">
        <v>-8</v>
      </c>
      <c r="R22" s="198"/>
      <c r="S22" s="198"/>
      <c r="T22" s="282"/>
      <c r="U22" s="282"/>
      <c r="V22" s="179"/>
      <c r="W22" s="198"/>
      <c r="X22" s="198"/>
      <c r="Y22" s="198"/>
      <c r="Z22" s="198"/>
      <c r="AA22" s="282"/>
      <c r="AB22" s="282"/>
      <c r="AC22" s="198"/>
      <c r="AD22" s="50">
        <v>-3</v>
      </c>
      <c r="AE22" s="198"/>
      <c r="AF22" s="198"/>
      <c r="AG22" s="188"/>
      <c r="AH22" s="181"/>
      <c r="AI22" s="164"/>
      <c r="AJ22" s="166"/>
      <c r="AK22" s="166"/>
      <c r="AL22" s="166"/>
      <c r="AM22" s="171">
        <f>IF(SUM(C21:AG21)-AJ21=0,"√",SUM(C21:AG21)-AJ21)</f>
        <v>71.5</v>
      </c>
      <c r="AN22" s="172"/>
      <c r="AO22" s="173"/>
      <c r="AP22" s="168"/>
      <c r="AQ22" s="201"/>
    </row>
    <row r="23" spans="1:43" s="1" customFormat="1" ht="15.95" customHeight="1">
      <c r="A23" s="185">
        <v>10</v>
      </c>
      <c r="B23" s="186" t="s">
        <v>12</v>
      </c>
      <c r="C23" s="197"/>
      <c r="D23" s="197"/>
      <c r="E23" s="197"/>
      <c r="F23" s="281"/>
      <c r="G23" s="281">
        <v>8.5</v>
      </c>
      <c r="H23" s="197"/>
      <c r="I23" s="197"/>
      <c r="J23" s="197"/>
      <c r="K23" s="197"/>
      <c r="L23" s="197"/>
      <c r="M23" s="281">
        <v>8.5</v>
      </c>
      <c r="N23" s="281">
        <v>8.5</v>
      </c>
      <c r="O23" s="199"/>
      <c r="P23" s="199"/>
      <c r="Q23" s="197"/>
      <c r="R23" s="197"/>
      <c r="S23" s="197"/>
      <c r="T23" s="281">
        <v>8.5</v>
      </c>
      <c r="U23" s="281">
        <v>8.5</v>
      </c>
      <c r="V23" s="184"/>
      <c r="W23" s="184"/>
      <c r="X23" s="197">
        <v>3</v>
      </c>
      <c r="Y23" s="197">
        <v>3</v>
      </c>
      <c r="Z23" s="197">
        <v>3</v>
      </c>
      <c r="AA23" s="281">
        <v>8.5</v>
      </c>
      <c r="AB23" s="281">
        <v>11.5</v>
      </c>
      <c r="AC23" s="197"/>
      <c r="AD23" s="197"/>
      <c r="AE23" s="197"/>
      <c r="AF23" s="197"/>
      <c r="AG23" s="187"/>
      <c r="AH23" s="180" cm="1">
        <f t="array" ref="AH23" xml:space="preserve"> -SUMPRODUCT((C23:AG23&lt;&gt;"年") * (C23:AG23&lt;&gt;"调") * (C23:AG23&lt;&gt;"病") * (C23:AG23&lt;&gt;"事") * C24:AG24)</f>
        <v>0</v>
      </c>
      <c r="AI23" s="189">
        <f>-(SUMIF(C23:AG23,"=年",C24:AG24))</f>
        <v>0</v>
      </c>
      <c r="AJ23" s="193">
        <f>-(SUMIF(C23:AG23,"=调",C24:AG24))</f>
        <v>0</v>
      </c>
      <c r="AK23" s="193">
        <f>-(SUMIF(C23:AG23,"=病",C24:AG24))</f>
        <v>0</v>
      </c>
      <c r="AL23" s="193">
        <f>-(SUMIF(C23:AG23,"=事",C24:AG24))</f>
        <v>0</v>
      </c>
      <c r="AM23" s="71">
        <f>SUMIF(C4:AG4,"P",C23:AG24)</f>
        <v>9</v>
      </c>
      <c r="AN23" s="46">
        <f>SUMIF(C4:AG4,"S",C23:AG24)</f>
        <v>62.5</v>
      </c>
      <c r="AO23" s="78">
        <f>SUMIF(C4:AG4,"G",C23:AG24)</f>
        <v>0</v>
      </c>
      <c r="AP23" s="167">
        <f>AI23+'2026-06'!AO23</f>
        <v>13</v>
      </c>
      <c r="AQ23" s="195"/>
    </row>
    <row r="24" spans="1:43" s="1" customFormat="1" ht="15.95" customHeight="1">
      <c r="A24" s="185"/>
      <c r="B24" s="186"/>
      <c r="C24" s="198"/>
      <c r="D24" s="198"/>
      <c r="E24" s="198"/>
      <c r="F24" s="282"/>
      <c r="G24" s="282"/>
      <c r="H24" s="198"/>
      <c r="I24" s="198"/>
      <c r="J24" s="198"/>
      <c r="K24" s="198"/>
      <c r="L24" s="198"/>
      <c r="M24" s="282"/>
      <c r="N24" s="282"/>
      <c r="O24" s="179"/>
      <c r="P24" s="179"/>
      <c r="Q24" s="198"/>
      <c r="R24" s="198"/>
      <c r="S24" s="198"/>
      <c r="T24" s="282"/>
      <c r="U24" s="282"/>
      <c r="V24" s="179"/>
      <c r="W24" s="179"/>
      <c r="X24" s="198"/>
      <c r="Y24" s="198"/>
      <c r="Z24" s="198"/>
      <c r="AA24" s="282"/>
      <c r="AB24" s="282"/>
      <c r="AC24" s="198"/>
      <c r="AD24" s="198"/>
      <c r="AE24" s="198"/>
      <c r="AF24" s="198"/>
      <c r="AG24" s="188"/>
      <c r="AH24" s="181"/>
      <c r="AI24" s="180"/>
      <c r="AJ24" s="194"/>
      <c r="AK24" s="194"/>
      <c r="AL24" s="194"/>
      <c r="AM24" s="190">
        <f>IF(SUM(C23:AG23)-AJ23=0,"√",SUM(C23:AG23)-AJ23)</f>
        <v>71.5</v>
      </c>
      <c r="AN24" s="191"/>
      <c r="AO24" s="200"/>
      <c r="AP24" s="168"/>
      <c r="AQ24" s="196"/>
    </row>
    <row r="25" spans="1:43" s="1" customFormat="1" ht="15.95" customHeight="1">
      <c r="A25" s="185">
        <v>11</v>
      </c>
      <c r="B25" s="186" t="s">
        <v>14</v>
      </c>
      <c r="C25" s="197"/>
      <c r="D25" s="197"/>
      <c r="E25" s="197"/>
      <c r="F25" s="281">
        <v>8.5</v>
      </c>
      <c r="G25" s="281">
        <v>8.5</v>
      </c>
      <c r="H25" s="197"/>
      <c r="I25" s="197"/>
      <c r="J25" s="197"/>
      <c r="K25" s="197"/>
      <c r="L25" s="197"/>
      <c r="M25" s="281">
        <v>8.5</v>
      </c>
      <c r="N25" s="281">
        <v>8.5</v>
      </c>
      <c r="O25" s="199"/>
      <c r="P25" s="199"/>
      <c r="Q25" s="197"/>
      <c r="R25" s="197"/>
      <c r="S25" s="197"/>
      <c r="T25" s="281">
        <v>8.5</v>
      </c>
      <c r="U25" s="281">
        <v>8.5</v>
      </c>
      <c r="V25" s="199"/>
      <c r="W25" s="54" t="s">
        <v>21</v>
      </c>
      <c r="X25" s="197">
        <v>3</v>
      </c>
      <c r="Y25" s="197"/>
      <c r="Z25" s="197"/>
      <c r="AA25" s="281">
        <v>8.5</v>
      </c>
      <c r="AB25" s="281">
        <v>11.5</v>
      </c>
      <c r="AC25" s="197"/>
      <c r="AD25" s="197"/>
      <c r="AE25" s="197"/>
      <c r="AF25" s="197"/>
      <c r="AG25" s="187"/>
      <c r="AH25" s="180" cm="1">
        <f t="array" ref="AH25" xml:space="preserve"> -SUMPRODUCT((C25:AG25&lt;&gt;"年") * (C25:AG25&lt;&gt;"调") * (C25:AG25&lt;&gt;"病") * (C25:AG25&lt;&gt;"事") * C26:AG26)</f>
        <v>0</v>
      </c>
      <c r="AI25" s="189">
        <f>-(SUMIF(C25:AG25,"=年",C26:AG26))</f>
        <v>1</v>
      </c>
      <c r="AJ25" s="193">
        <f>-(SUMIF(C25:AG25,"=调",C26:AG26))</f>
        <v>0</v>
      </c>
      <c r="AK25" s="193">
        <f>-(SUMIF(C25:AG25,"=病",C26:AG26))</f>
        <v>0</v>
      </c>
      <c r="AL25" s="193">
        <f>-(SUMIF(C25:AG25,"=事",C26:AG26))</f>
        <v>0</v>
      </c>
      <c r="AM25" s="71">
        <f>SUMIF(C4:AG4,"P",C25:AG26)</f>
        <v>3</v>
      </c>
      <c r="AN25" s="46">
        <f>SUMIF(C4:AG4,"S",C25:AG26)</f>
        <v>71</v>
      </c>
      <c r="AO25" s="78">
        <f>SUMIF(C4:AG4,"G",C25:AG26)</f>
        <v>0</v>
      </c>
      <c r="AP25" s="167">
        <f>AI25+'2026-06'!AO25</f>
        <v>34</v>
      </c>
      <c r="AQ25" s="195"/>
    </row>
    <row r="26" spans="1:43" s="1" customFormat="1" ht="15.95" customHeight="1">
      <c r="A26" s="185"/>
      <c r="B26" s="186"/>
      <c r="C26" s="198"/>
      <c r="D26" s="198"/>
      <c r="E26" s="198"/>
      <c r="F26" s="282"/>
      <c r="G26" s="282"/>
      <c r="H26" s="198"/>
      <c r="I26" s="198"/>
      <c r="J26" s="198"/>
      <c r="K26" s="198"/>
      <c r="L26" s="198"/>
      <c r="M26" s="282"/>
      <c r="N26" s="282"/>
      <c r="O26" s="179"/>
      <c r="P26" s="179"/>
      <c r="Q26" s="198"/>
      <c r="R26" s="198"/>
      <c r="S26" s="198"/>
      <c r="T26" s="282"/>
      <c r="U26" s="282"/>
      <c r="V26" s="179"/>
      <c r="W26" s="17">
        <v>-1</v>
      </c>
      <c r="X26" s="198"/>
      <c r="Y26" s="198"/>
      <c r="Z26" s="198"/>
      <c r="AA26" s="282"/>
      <c r="AB26" s="282"/>
      <c r="AC26" s="198"/>
      <c r="AD26" s="198"/>
      <c r="AE26" s="198"/>
      <c r="AF26" s="198"/>
      <c r="AG26" s="188"/>
      <c r="AH26" s="181"/>
      <c r="AI26" s="180"/>
      <c r="AJ26" s="194"/>
      <c r="AK26" s="194"/>
      <c r="AL26" s="194"/>
      <c r="AM26" s="190">
        <f>IF(SUM(C25:AG25)-AJ25=0,"√",SUM(C25:AG25)-AJ25)</f>
        <v>74</v>
      </c>
      <c r="AN26" s="191"/>
      <c r="AO26" s="200"/>
      <c r="AP26" s="168"/>
      <c r="AQ26" s="196"/>
    </row>
    <row r="27" spans="1:43" s="1" customFormat="1" ht="15.95" customHeight="1">
      <c r="A27" s="182">
        <v>12</v>
      </c>
      <c r="B27" s="183" t="s">
        <v>34</v>
      </c>
      <c r="C27" s="37"/>
      <c r="D27" s="37"/>
      <c r="E27" s="9"/>
      <c r="F27" s="30"/>
      <c r="G27" s="30"/>
      <c r="H27" s="9"/>
      <c r="I27" s="9"/>
      <c r="J27" s="9"/>
      <c r="K27" s="9"/>
      <c r="L27" s="9"/>
      <c r="M27" s="30"/>
      <c r="N27" s="30"/>
      <c r="O27" s="9"/>
      <c r="P27" s="9"/>
      <c r="Q27" s="9"/>
      <c r="R27" s="9"/>
      <c r="S27" s="9"/>
      <c r="T27" s="30"/>
      <c r="U27" s="30"/>
      <c r="V27" s="37" t="s">
        <v>21</v>
      </c>
      <c r="W27" s="9"/>
      <c r="X27" s="9"/>
      <c r="Y27" s="9"/>
      <c r="Z27" s="37" t="s">
        <v>21</v>
      </c>
      <c r="AA27" s="30"/>
      <c r="AB27" s="30"/>
      <c r="AC27" s="9"/>
      <c r="AD27" s="9"/>
      <c r="AE27" s="9"/>
      <c r="AF27" s="9"/>
      <c r="AG27" s="131"/>
      <c r="AH27" s="180" cm="1">
        <f t="array" ref="AH27" xml:space="preserve"> -SUMPRODUCT((C27:AG27&lt;&gt;"年") * (C27:AG27&lt;&gt;"调") * (C27:AG27&lt;&gt;"病") * (C27:AG27&lt;&gt;"事") * C28:AG28)</f>
        <v>0</v>
      </c>
      <c r="AI27" s="164">
        <f>-(SUMIF(C27:AG27,"=年",C28:AG28))</f>
        <v>7</v>
      </c>
      <c r="AJ27" s="166">
        <f>-(SUMIF(C27:AG27,"=调",C28:AG28))</f>
        <v>0</v>
      </c>
      <c r="AK27" s="166">
        <f>-(SUMIF(C27:AG27,"=病",C28:AG28))</f>
        <v>0</v>
      </c>
      <c r="AL27" s="166">
        <f>-(SUMIF(C27:AG27,"=事",C28:AG28))</f>
        <v>0</v>
      </c>
      <c r="AM27" s="72">
        <f>SUMIF(C4:AG4,"P",C27:AG28)</f>
        <v>0</v>
      </c>
      <c r="AN27" s="68">
        <f>SUMIF(C4:AG4,"S",C27:AG28)-AJ27</f>
        <v>0</v>
      </c>
      <c r="AO27" s="79">
        <f>SUMIF(C4:AG4,"G",C27:AG28)</f>
        <v>0</v>
      </c>
      <c r="AP27" s="167">
        <f>AI27+'2026-06'!AO27</f>
        <v>56.5</v>
      </c>
      <c r="AQ27" s="217"/>
    </row>
    <row r="28" spans="1:43" s="1" customFormat="1" ht="15.95" customHeight="1">
      <c r="A28" s="175"/>
      <c r="B28" s="210"/>
      <c r="C28" s="37"/>
      <c r="D28" s="37"/>
      <c r="E28" s="9"/>
      <c r="F28" s="30"/>
      <c r="G28" s="30"/>
      <c r="H28" s="9"/>
      <c r="I28" s="9"/>
      <c r="J28" s="9"/>
      <c r="K28" s="9"/>
      <c r="L28" s="9"/>
      <c r="M28" s="30"/>
      <c r="N28" s="30"/>
      <c r="O28" s="9"/>
      <c r="P28" s="9"/>
      <c r="Q28" s="9"/>
      <c r="R28" s="9"/>
      <c r="S28" s="9"/>
      <c r="T28" s="30"/>
      <c r="U28" s="30"/>
      <c r="V28" s="9">
        <v>-1.5</v>
      </c>
      <c r="W28" s="9"/>
      <c r="X28" s="9"/>
      <c r="Y28" s="9"/>
      <c r="Z28" s="9">
        <v>-5.5</v>
      </c>
      <c r="AA28" s="30"/>
      <c r="AB28" s="30"/>
      <c r="AC28" s="9"/>
      <c r="AD28" s="9"/>
      <c r="AE28" s="9"/>
      <c r="AF28" s="9"/>
      <c r="AG28" s="131"/>
      <c r="AH28" s="181"/>
      <c r="AI28" s="164"/>
      <c r="AJ28" s="166"/>
      <c r="AK28" s="166"/>
      <c r="AL28" s="166"/>
      <c r="AM28" s="171" t="str">
        <f>IF(SUM(C27:AG27)-AJ27=0,"√",SUM(C27:AG27)-AJ27)</f>
        <v>√</v>
      </c>
      <c r="AN28" s="172"/>
      <c r="AO28" s="173"/>
      <c r="AP28" s="294"/>
      <c r="AQ28" s="170"/>
    </row>
    <row r="29" spans="1:43" s="1" customFormat="1" ht="15.95" customHeight="1">
      <c r="A29" s="175">
        <v>13</v>
      </c>
      <c r="B29" s="219" t="s">
        <v>56</v>
      </c>
      <c r="C29" s="11"/>
      <c r="D29" s="11"/>
      <c r="E29" s="5"/>
      <c r="F29" s="21"/>
      <c r="G29" s="21"/>
      <c r="H29" s="5"/>
      <c r="I29" s="5"/>
      <c r="J29" s="5"/>
      <c r="K29" s="5"/>
      <c r="L29" s="5"/>
      <c r="M29" s="21"/>
      <c r="N29" s="21"/>
      <c r="O29" s="134"/>
      <c r="P29" s="5"/>
      <c r="Q29" s="5"/>
      <c r="R29" s="5"/>
      <c r="S29" s="5"/>
      <c r="T29" s="21"/>
      <c r="U29" s="21"/>
      <c r="V29" s="5"/>
      <c r="W29" s="5"/>
      <c r="X29" s="5"/>
      <c r="Y29" s="5"/>
      <c r="Z29" s="5"/>
      <c r="AA29" s="21"/>
      <c r="AB29" s="21"/>
      <c r="AC29" s="5"/>
      <c r="AD29" s="184">
        <v>0.5</v>
      </c>
      <c r="AE29" s="5"/>
      <c r="AF29" s="5"/>
      <c r="AG29" s="130"/>
      <c r="AH29" s="181" cm="1">
        <f t="array" ref="AH29" xml:space="preserve"> -SUMPRODUCT((C29:AG29&lt;&gt;"年") * (C29:AG29&lt;&gt;"调") * (C29:AG29&lt;&gt;"病") * (C29:AG29&lt;&gt;"事") * C30:AG30)</f>
        <v>0</v>
      </c>
      <c r="AI29" s="189">
        <f>-(SUMIF(C29:AG29,"=年",C30:AG30))</f>
        <v>0</v>
      </c>
      <c r="AJ29" s="193">
        <f>-(SUMIF(C29:AG29,"=调",C30:AG30))</f>
        <v>0</v>
      </c>
      <c r="AK29" s="193">
        <f>-(SUMIF(C29:AG29,"=病",C30:AG30))</f>
        <v>0</v>
      </c>
      <c r="AL29" s="193">
        <f>-(SUMIF(C29:AG29,"=事",C30:AG30))</f>
        <v>0</v>
      </c>
      <c r="AM29" s="71">
        <f>SUMIF(C4:AG4,"P",C29:AG30)</f>
        <v>0.5</v>
      </c>
      <c r="AN29" s="46">
        <f>SUMIF(C4:AG4,"S",C29:AG30)-AJ29</f>
        <v>0</v>
      </c>
      <c r="AO29" s="56">
        <f>SUMIF(C4:AG4,"G",C29:AG30)</f>
        <v>0</v>
      </c>
      <c r="AP29" s="168">
        <f>AI29+'2026-06'!AO29</f>
        <v>0</v>
      </c>
      <c r="AQ29" s="122"/>
    </row>
    <row r="30" spans="1:43" s="1" customFormat="1" ht="15.95" customHeight="1" thickBot="1">
      <c r="A30" s="218"/>
      <c r="B30" s="220"/>
      <c r="C30" s="39"/>
      <c r="D30" s="39"/>
      <c r="E30" s="7"/>
      <c r="F30" s="23"/>
      <c r="G30" s="23"/>
      <c r="H30" s="7"/>
      <c r="I30" s="7"/>
      <c r="J30" s="7"/>
      <c r="K30" s="7"/>
      <c r="L30" s="7"/>
      <c r="M30" s="23"/>
      <c r="N30" s="23"/>
      <c r="O30" s="135"/>
      <c r="P30" s="7"/>
      <c r="Q30" s="7"/>
      <c r="R30" s="7"/>
      <c r="S30" s="7"/>
      <c r="T30" s="23"/>
      <c r="U30" s="23"/>
      <c r="V30" s="7"/>
      <c r="W30" s="7"/>
      <c r="X30" s="7"/>
      <c r="Y30" s="7"/>
      <c r="Z30" s="7"/>
      <c r="AA30" s="23"/>
      <c r="AB30" s="23"/>
      <c r="AC30" s="7"/>
      <c r="AD30" s="221"/>
      <c r="AE30" s="7"/>
      <c r="AF30" s="7"/>
      <c r="AG30" s="136"/>
      <c r="AH30" s="222"/>
      <c r="AI30" s="223"/>
      <c r="AJ30" s="211"/>
      <c r="AK30" s="211"/>
      <c r="AL30" s="211"/>
      <c r="AM30" s="213">
        <f>IF(SUM(C29:AG29)-AJ29=0,"√",SUM(C29:AG29)-AJ29)</f>
        <v>0.5</v>
      </c>
      <c r="AN30" s="214"/>
      <c r="AO30" s="215"/>
      <c r="AP30" s="212"/>
      <c r="AQ30" s="121"/>
    </row>
    <row r="31" spans="1:43" ht="37.15" customHeight="1">
      <c r="A31" s="216" t="s">
        <v>57</v>
      </c>
      <c r="B31" s="216"/>
      <c r="C31" s="216"/>
      <c r="D31" s="216"/>
      <c r="E31" s="216"/>
      <c r="F31" s="216"/>
      <c r="G31" s="216"/>
      <c r="H31" s="216"/>
      <c r="I31" s="216"/>
      <c r="J31" s="216"/>
      <c r="K31" s="216"/>
      <c r="L31" s="216"/>
      <c r="M31" s="216"/>
      <c r="N31" s="216"/>
      <c r="O31" s="216"/>
      <c r="P31" s="216"/>
      <c r="Q31" s="216"/>
      <c r="R31" s="216"/>
      <c r="S31" s="216"/>
      <c r="T31" s="216"/>
      <c r="U31" s="216"/>
      <c r="V31" s="216"/>
      <c r="W31" s="216"/>
      <c r="X31" s="216"/>
      <c r="Y31" s="216"/>
      <c r="Z31" s="216"/>
      <c r="AA31" s="216"/>
      <c r="AB31" s="216"/>
      <c r="AC31" s="216"/>
      <c r="AD31" s="216"/>
      <c r="AE31" s="216"/>
      <c r="AF31" s="216"/>
      <c r="AG31" s="216"/>
      <c r="AH31" s="216"/>
      <c r="AI31" s="216"/>
      <c r="AJ31" s="216"/>
      <c r="AK31" s="216"/>
      <c r="AL31" s="216"/>
      <c r="AM31" s="216"/>
      <c r="AN31" s="216"/>
      <c r="AO31" s="216"/>
      <c r="AP31" s="216"/>
      <c r="AQ31" s="216"/>
    </row>
    <row r="32" spans="1:43" ht="34.9" customHeight="1">
      <c r="A32" s="3" t="s">
        <v>13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P32" s="3"/>
      <c r="Q32" s="3"/>
      <c r="R32" s="3"/>
      <c r="S32" s="3" t="s">
        <v>23</v>
      </c>
      <c r="T32" s="3"/>
      <c r="U32" s="3"/>
      <c r="V32" s="3"/>
      <c r="W32" s="3"/>
      <c r="X32" s="3"/>
      <c r="Y32" s="3"/>
      <c r="Z32" s="3"/>
      <c r="AA32" s="3"/>
      <c r="AB32" s="3"/>
      <c r="AD32" s="3"/>
      <c r="AE32" s="3"/>
      <c r="AG32" s="4"/>
      <c r="AH32" s="4"/>
      <c r="AJ32" s="4"/>
      <c r="AK32" s="207" t="s">
        <v>10</v>
      </c>
      <c r="AL32" s="207"/>
      <c r="AM32" s="207"/>
      <c r="AN32" s="207"/>
      <c r="AO32" s="207"/>
      <c r="AP32" s="207"/>
      <c r="AQ32" s="207"/>
    </row>
    <row r="33" spans="1:3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</row>
  </sheetData>
  <mergeCells count="337">
    <mergeCell ref="AQ27:AQ28"/>
    <mergeCell ref="AM28:AO28"/>
    <mergeCell ref="A31:AQ31"/>
    <mergeCell ref="A27:A28"/>
    <mergeCell ref="B27:B28"/>
    <mergeCell ref="AI27:AI28"/>
    <mergeCell ref="AJ27:AJ28"/>
    <mergeCell ref="AP27:AP28"/>
    <mergeCell ref="AK25:AK26"/>
    <mergeCell ref="AH25:AH26"/>
    <mergeCell ref="Y25:Y26"/>
    <mergeCell ref="Z25:Z26"/>
    <mergeCell ref="AH27:AH28"/>
    <mergeCell ref="AK27:AK28"/>
    <mergeCell ref="AL27:AL28"/>
    <mergeCell ref="AE25:AE26"/>
    <mergeCell ref="AF25:AF26"/>
    <mergeCell ref="AG25:AG26"/>
    <mergeCell ref="AA25:AA26"/>
    <mergeCell ref="AB25:AB26"/>
    <mergeCell ref="AL25:AL26"/>
    <mergeCell ref="AP25:AP26"/>
    <mergeCell ref="AQ25:AQ26"/>
    <mergeCell ref="AM26:AO26"/>
    <mergeCell ref="AI25:AI26"/>
    <mergeCell ref="AJ25:AJ26"/>
    <mergeCell ref="G25:G26"/>
    <mergeCell ref="H25:H26"/>
    <mergeCell ref="I25:I26"/>
    <mergeCell ref="U25:U26"/>
    <mergeCell ref="V25:V26"/>
    <mergeCell ref="X25:X26"/>
    <mergeCell ref="A29:A30"/>
    <mergeCell ref="B29:B30"/>
    <mergeCell ref="AK32:AQ32"/>
    <mergeCell ref="AH29:AH30"/>
    <mergeCell ref="AI29:AI30"/>
    <mergeCell ref="AJ29:AJ30"/>
    <mergeCell ref="AK29:AK30"/>
    <mergeCell ref="AL29:AL30"/>
    <mergeCell ref="AM30:AO30"/>
    <mergeCell ref="AP29:AP30"/>
    <mergeCell ref="AD29:AD30"/>
    <mergeCell ref="M25:M26"/>
    <mergeCell ref="N25:N26"/>
    <mergeCell ref="O25:O26"/>
    <mergeCell ref="P25:P26"/>
    <mergeCell ref="Q25:Q26"/>
    <mergeCell ref="R25:R26"/>
    <mergeCell ref="AI23:AI24"/>
    <mergeCell ref="AJ23:AJ24"/>
    <mergeCell ref="AK23:AK24"/>
    <mergeCell ref="U23:U24"/>
    <mergeCell ref="V23:V24"/>
    <mergeCell ref="W23:W24"/>
    <mergeCell ref="X23:X24"/>
    <mergeCell ref="Z23:Z24"/>
    <mergeCell ref="AA23:AA24"/>
    <mergeCell ref="O23:O24"/>
    <mergeCell ref="P23:P24"/>
    <mergeCell ref="Q23:Q24"/>
    <mergeCell ref="R23:R24"/>
    <mergeCell ref="S23:S24"/>
    <mergeCell ref="AC25:AC26"/>
    <mergeCell ref="AD25:AD26"/>
    <mergeCell ref="S25:S26"/>
    <mergeCell ref="T25:T26"/>
    <mergeCell ref="J25:J26"/>
    <mergeCell ref="K25:K26"/>
    <mergeCell ref="L25:L26"/>
    <mergeCell ref="A25:A26"/>
    <mergeCell ref="B25:B26"/>
    <mergeCell ref="C25:C26"/>
    <mergeCell ref="D25:D26"/>
    <mergeCell ref="E25:E26"/>
    <mergeCell ref="F25:F26"/>
    <mergeCell ref="T23:T24"/>
    <mergeCell ref="I23:I24"/>
    <mergeCell ref="J23:J24"/>
    <mergeCell ref="K23:K24"/>
    <mergeCell ref="AC23:AC24"/>
    <mergeCell ref="AD23:AD24"/>
    <mergeCell ref="AE23:AE24"/>
    <mergeCell ref="AF23:AF24"/>
    <mergeCell ref="AG23:AG24"/>
    <mergeCell ref="L23:L24"/>
    <mergeCell ref="M23:M24"/>
    <mergeCell ref="N23:N24"/>
    <mergeCell ref="Y23:Y24"/>
    <mergeCell ref="AB23:AB24"/>
    <mergeCell ref="AQ21:AQ22"/>
    <mergeCell ref="AM22:AO22"/>
    <mergeCell ref="AI21:AI22"/>
    <mergeCell ref="AJ21:AJ22"/>
    <mergeCell ref="AK21:AK22"/>
    <mergeCell ref="AL21:AL22"/>
    <mergeCell ref="AP21:AP22"/>
    <mergeCell ref="AH21:AH22"/>
    <mergeCell ref="AH23:AH24"/>
    <mergeCell ref="AL23:AL24"/>
    <mergeCell ref="AP23:AP24"/>
    <mergeCell ref="AQ23:AQ24"/>
    <mergeCell ref="AM24:AO24"/>
    <mergeCell ref="A23:A24"/>
    <mergeCell ref="B23:B24"/>
    <mergeCell ref="C23:C24"/>
    <mergeCell ref="D23:D24"/>
    <mergeCell ref="E23:E24"/>
    <mergeCell ref="F23:F24"/>
    <mergeCell ref="G23:G24"/>
    <mergeCell ref="H23:H24"/>
    <mergeCell ref="AG21:AG22"/>
    <mergeCell ref="AA21:AA22"/>
    <mergeCell ref="AB21:AB22"/>
    <mergeCell ref="AC21:AC22"/>
    <mergeCell ref="AE21:AE22"/>
    <mergeCell ref="AF21:AF22"/>
    <mergeCell ref="U21:U22"/>
    <mergeCell ref="V21:V22"/>
    <mergeCell ref="W21:W22"/>
    <mergeCell ref="X21:X22"/>
    <mergeCell ref="Y21:Y22"/>
    <mergeCell ref="Z21:Z22"/>
    <mergeCell ref="R21:R22"/>
    <mergeCell ref="S21:S22"/>
    <mergeCell ref="T21:T22"/>
    <mergeCell ref="H21:H22"/>
    <mergeCell ref="I21:I22"/>
    <mergeCell ref="J21:J22"/>
    <mergeCell ref="K21:K22"/>
    <mergeCell ref="L21:L22"/>
    <mergeCell ref="N21:N22"/>
    <mergeCell ref="A21:A22"/>
    <mergeCell ref="B21:B22"/>
    <mergeCell ref="D21:D22"/>
    <mergeCell ref="F21:F22"/>
    <mergeCell ref="G21:G22"/>
    <mergeCell ref="M21:M22"/>
    <mergeCell ref="T19:T20"/>
    <mergeCell ref="U19:U20"/>
    <mergeCell ref="AJ19:AJ20"/>
    <mergeCell ref="AK19:AK20"/>
    <mergeCell ref="AL19:AL20"/>
    <mergeCell ref="AP19:AP20"/>
    <mergeCell ref="AQ19:AQ20"/>
    <mergeCell ref="AM20:AO20"/>
    <mergeCell ref="AC19:AC20"/>
    <mergeCell ref="AD19:AD20"/>
    <mergeCell ref="AE19:AE20"/>
    <mergeCell ref="AF19:AF20"/>
    <mergeCell ref="AG19:AG20"/>
    <mergeCell ref="AI19:AI20"/>
    <mergeCell ref="AH19:AH20"/>
    <mergeCell ref="J19:J20"/>
    <mergeCell ref="K19:K20"/>
    <mergeCell ref="M19:M20"/>
    <mergeCell ref="N19:N20"/>
    <mergeCell ref="O19:O20"/>
    <mergeCell ref="P19:P20"/>
    <mergeCell ref="AM18:AO18"/>
    <mergeCell ref="A19:A20"/>
    <mergeCell ref="B19:B20"/>
    <mergeCell ref="C19:C20"/>
    <mergeCell ref="D19:D20"/>
    <mergeCell ref="E19:E20"/>
    <mergeCell ref="F19:F20"/>
    <mergeCell ref="G19:G20"/>
    <mergeCell ref="H19:H20"/>
    <mergeCell ref="W19:W20"/>
    <mergeCell ref="X19:X20"/>
    <mergeCell ref="Y19:Y20"/>
    <mergeCell ref="Z19:Z20"/>
    <mergeCell ref="AA19:AA20"/>
    <mergeCell ref="AB19:AB20"/>
    <mergeCell ref="Q19:Q20"/>
    <mergeCell ref="R19:R20"/>
    <mergeCell ref="S19:S20"/>
    <mergeCell ref="AJ17:AJ18"/>
    <mergeCell ref="AK17:AK18"/>
    <mergeCell ref="AL17:AL18"/>
    <mergeCell ref="AP17:AP18"/>
    <mergeCell ref="AQ17:AQ18"/>
    <mergeCell ref="AG15:AG16"/>
    <mergeCell ref="AI15:AI16"/>
    <mergeCell ref="AJ15:AJ16"/>
    <mergeCell ref="AK15:AK16"/>
    <mergeCell ref="AL15:AL16"/>
    <mergeCell ref="AP15:AP16"/>
    <mergeCell ref="AQ15:AQ16"/>
    <mergeCell ref="AM16:AO16"/>
    <mergeCell ref="AH15:AH16"/>
    <mergeCell ref="AH17:AH18"/>
    <mergeCell ref="A17:A18"/>
    <mergeCell ref="B17:B18"/>
    <mergeCell ref="AI17:AI18"/>
    <mergeCell ref="AA15:AA16"/>
    <mergeCell ref="AB15:AB16"/>
    <mergeCell ref="AC15:AC16"/>
    <mergeCell ref="AD15:AD16"/>
    <mergeCell ref="AE15:AE16"/>
    <mergeCell ref="AF15:AF16"/>
    <mergeCell ref="U15:U16"/>
    <mergeCell ref="V15:V16"/>
    <mergeCell ref="W15:W16"/>
    <mergeCell ref="X15:X16"/>
    <mergeCell ref="A15:A16"/>
    <mergeCell ref="B15:B16"/>
    <mergeCell ref="C15:C16"/>
    <mergeCell ref="D15:D16"/>
    <mergeCell ref="E15:E16"/>
    <mergeCell ref="F15:F16"/>
    <mergeCell ref="Y15:Y16"/>
    <mergeCell ref="Z15:Z16"/>
    <mergeCell ref="M15:M16"/>
    <mergeCell ref="N15:N16"/>
    <mergeCell ref="Q15:Q16"/>
    <mergeCell ref="AI13:AI14"/>
    <mergeCell ref="AJ13:AJ14"/>
    <mergeCell ref="AK13:AK14"/>
    <mergeCell ref="U13:U14"/>
    <mergeCell ref="V13:V14"/>
    <mergeCell ref="W13:W14"/>
    <mergeCell ref="AD13:AD14"/>
    <mergeCell ref="AG13:AG14"/>
    <mergeCell ref="AB13:AB14"/>
    <mergeCell ref="AA13:AA14"/>
    <mergeCell ref="AH13:AH14"/>
    <mergeCell ref="O15:O16"/>
    <mergeCell ref="P15:P16"/>
    <mergeCell ref="S15:S16"/>
    <mergeCell ref="T15:T16"/>
    <mergeCell ref="G15:G16"/>
    <mergeCell ref="H15:H16"/>
    <mergeCell ref="I15:I16"/>
    <mergeCell ref="J15:J16"/>
    <mergeCell ref="K15:K16"/>
    <mergeCell ref="L15:L16"/>
    <mergeCell ref="R15:R16"/>
    <mergeCell ref="A13:A14"/>
    <mergeCell ref="B13:B14"/>
    <mergeCell ref="E13:E14"/>
    <mergeCell ref="H13:H14"/>
    <mergeCell ref="I13:I14"/>
    <mergeCell ref="O13:O14"/>
    <mergeCell ref="P13:P14"/>
    <mergeCell ref="A11:A12"/>
    <mergeCell ref="B11:B12"/>
    <mergeCell ref="D11:D12"/>
    <mergeCell ref="E11:E12"/>
    <mergeCell ref="F13:F14"/>
    <mergeCell ref="G13:G14"/>
    <mergeCell ref="J11:J12"/>
    <mergeCell ref="K11:K12"/>
    <mergeCell ref="L11:L12"/>
    <mergeCell ref="M11:M12"/>
    <mergeCell ref="F11:F12"/>
    <mergeCell ref="G11:G12"/>
    <mergeCell ref="H11:H12"/>
    <mergeCell ref="I11:I12"/>
    <mergeCell ref="AP11:AP12"/>
    <mergeCell ref="AQ11:AQ12"/>
    <mergeCell ref="AM12:AO12"/>
    <mergeCell ref="AI11:AI12"/>
    <mergeCell ref="AJ11:AJ12"/>
    <mergeCell ref="AK11:AK12"/>
    <mergeCell ref="AF11:AF12"/>
    <mergeCell ref="AG11:AG12"/>
    <mergeCell ref="M13:M14"/>
    <mergeCell ref="N13:N14"/>
    <mergeCell ref="Z11:Z12"/>
    <mergeCell ref="AA11:AA12"/>
    <mergeCell ref="AB11:AB12"/>
    <mergeCell ref="AC11:AC12"/>
    <mergeCell ref="AD11:AD12"/>
    <mergeCell ref="AE11:AE12"/>
    <mergeCell ref="T11:T12"/>
    <mergeCell ref="U11:U12"/>
    <mergeCell ref="AH11:AH12"/>
    <mergeCell ref="AL13:AL14"/>
    <mergeCell ref="AP13:AP14"/>
    <mergeCell ref="AQ13:AQ14"/>
    <mergeCell ref="AM14:AO14"/>
    <mergeCell ref="AL11:AL12"/>
    <mergeCell ref="V11:V12"/>
    <mergeCell ref="W11:W12"/>
    <mergeCell ref="X11:X12"/>
    <mergeCell ref="Y11:Y12"/>
    <mergeCell ref="N11:N12"/>
    <mergeCell ref="O11:O12"/>
    <mergeCell ref="P11:P12"/>
    <mergeCell ref="Q11:Q12"/>
    <mergeCell ref="R11:R12"/>
    <mergeCell ref="S11:S12"/>
    <mergeCell ref="AL7:AL8"/>
    <mergeCell ref="AP7:AP8"/>
    <mergeCell ref="AQ7:AQ8"/>
    <mergeCell ref="AM8:AO8"/>
    <mergeCell ref="A9:A10"/>
    <mergeCell ref="B9:B10"/>
    <mergeCell ref="G9:G10"/>
    <mergeCell ref="AI9:AI10"/>
    <mergeCell ref="AJ9:AJ10"/>
    <mergeCell ref="AK9:AK10"/>
    <mergeCell ref="A7:A8"/>
    <mergeCell ref="B7:B8"/>
    <mergeCell ref="AG7:AG8"/>
    <mergeCell ref="AI7:AI8"/>
    <mergeCell ref="AJ7:AJ8"/>
    <mergeCell ref="AK7:AK8"/>
    <mergeCell ref="AP9:AP10"/>
    <mergeCell ref="AQ9:AQ10"/>
    <mergeCell ref="AM10:AO10"/>
    <mergeCell ref="AH7:AH8"/>
    <mergeCell ref="AH9:AH10"/>
    <mergeCell ref="AL9:AL10"/>
    <mergeCell ref="A1:AQ1"/>
    <mergeCell ref="A2:A4"/>
    <mergeCell ref="B2:B4"/>
    <mergeCell ref="C2:AG2"/>
    <mergeCell ref="AP2:AP4"/>
    <mergeCell ref="AQ2:AQ4"/>
    <mergeCell ref="AM3:AO3"/>
    <mergeCell ref="AJ5:AJ6"/>
    <mergeCell ref="AK5:AK6"/>
    <mergeCell ref="AL5:AL6"/>
    <mergeCell ref="AP5:AP6"/>
    <mergeCell ref="AQ5:AQ6"/>
    <mergeCell ref="AM6:AO6"/>
    <mergeCell ref="A5:A6"/>
    <mergeCell ref="B5:B6"/>
    <mergeCell ref="U5:U6"/>
    <mergeCell ref="V5:V6"/>
    <mergeCell ref="W5:W6"/>
    <mergeCell ref="AI5:AI6"/>
    <mergeCell ref="AH3:AL3"/>
    <mergeCell ref="AH2:AO2"/>
    <mergeCell ref="AH5:AH6"/>
  </mergeCells>
  <phoneticPr fontId="8" type="noConversion"/>
  <conditionalFormatting sqref="C3:C30">
    <cfRule type="expression" dxfId="26" priority="2">
      <formula>$C$4="S"</formula>
    </cfRule>
    <cfRule type="expression" dxfId="25" priority="3">
      <formula>$C$4="P"</formula>
    </cfRule>
  </conditionalFormatting>
  <conditionalFormatting sqref="D3:D30">
    <cfRule type="expression" dxfId="24" priority="1">
      <formula>$D$4="G"</formula>
    </cfRule>
  </conditionalFormatting>
  <pageMargins left="0.25138888888888899" right="0.25138888888888899" top="0.55486111111111103" bottom="0.55486111111111103" header="0.29861111111111099" footer="0.29861111111111099"/>
  <pageSetup paperSize="9" scale="70" fitToHeight="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73D34-1F20-42D8-8936-D32E1712A663}">
  <sheetPr>
    <pageSetUpPr fitToPage="1"/>
  </sheetPr>
  <dimension ref="A1:AQ33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J9" sqref="J9:J10"/>
    </sheetView>
  </sheetViews>
  <sheetFormatPr defaultColWidth="9" defaultRowHeight="14.25"/>
  <cols>
    <col min="1" max="1" width="5.25" bestFit="1" customWidth="1"/>
    <col min="2" max="2" width="8.5" customWidth="1"/>
    <col min="3" max="33" width="4.75" customWidth="1"/>
    <col min="34" max="34" width="3.375" bestFit="1" customWidth="1"/>
    <col min="35" max="37" width="3.5" bestFit="1" customWidth="1"/>
    <col min="38" max="38" width="3.375" bestFit="1" customWidth="1"/>
    <col min="39" max="40" width="5.375" bestFit="1" customWidth="1"/>
    <col min="41" max="41" width="4.375" bestFit="1" customWidth="1"/>
    <col min="42" max="42" width="6.5" customWidth="1"/>
    <col min="43" max="43" width="11.75" customWidth="1"/>
  </cols>
  <sheetData>
    <row r="1" spans="1:43" ht="70.5" customHeight="1" thickBot="1">
      <c r="A1" s="142" t="s">
        <v>15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  <c r="AD1" s="142"/>
      <c r="AE1" s="142"/>
      <c r="AF1" s="142"/>
      <c r="AG1" s="142"/>
      <c r="AH1" s="142"/>
      <c r="AI1" s="142"/>
      <c r="AJ1" s="142"/>
      <c r="AK1" s="142"/>
      <c r="AL1" s="142"/>
      <c r="AM1" s="142"/>
      <c r="AN1" s="142"/>
      <c r="AO1" s="142"/>
      <c r="AP1" s="142"/>
      <c r="AQ1" s="142"/>
    </row>
    <row r="2" spans="1:43" ht="40.5" customHeight="1">
      <c r="A2" s="143" t="s">
        <v>0</v>
      </c>
      <c r="B2" s="145" t="s">
        <v>1</v>
      </c>
      <c r="C2" s="295" t="str">
        <f>"2026年8月出勤状况(工作日:"&amp;COUNTIF(C4:AG4, "P")&amp;"天)"</f>
        <v>2026年8月出勤状况(工作日:21天)</v>
      </c>
      <c r="D2" s="296"/>
      <c r="E2" s="296"/>
      <c r="F2" s="296"/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296"/>
      <c r="U2" s="296"/>
      <c r="V2" s="296"/>
      <c r="W2" s="296"/>
      <c r="X2" s="296"/>
      <c r="Y2" s="296"/>
      <c r="Z2" s="296"/>
      <c r="AA2" s="296"/>
      <c r="AB2" s="296"/>
      <c r="AC2" s="296"/>
      <c r="AD2" s="296"/>
      <c r="AE2" s="296"/>
      <c r="AF2" s="296"/>
      <c r="AG2" s="296"/>
      <c r="AH2" s="149" t="s">
        <v>39</v>
      </c>
      <c r="AI2" s="150"/>
      <c r="AJ2" s="150"/>
      <c r="AK2" s="150"/>
      <c r="AL2" s="150"/>
      <c r="AM2" s="150"/>
      <c r="AN2" s="150"/>
      <c r="AO2" s="151"/>
      <c r="AP2" s="152" t="s">
        <v>16</v>
      </c>
      <c r="AQ2" s="155" t="s">
        <v>24</v>
      </c>
    </row>
    <row r="3" spans="1:43">
      <c r="A3" s="144"/>
      <c r="B3" s="146"/>
      <c r="C3" s="51">
        <v>1</v>
      </c>
      <c r="D3" s="51">
        <v>2</v>
      </c>
      <c r="E3" s="51">
        <v>3</v>
      </c>
      <c r="F3" s="51">
        <v>4</v>
      </c>
      <c r="G3" s="51">
        <v>5</v>
      </c>
      <c r="H3" s="51">
        <v>6</v>
      </c>
      <c r="I3" s="51">
        <v>7</v>
      </c>
      <c r="J3" s="51">
        <v>8</v>
      </c>
      <c r="K3" s="51">
        <v>9</v>
      </c>
      <c r="L3" s="51">
        <v>10</v>
      </c>
      <c r="M3" s="51">
        <v>11</v>
      </c>
      <c r="N3" s="51">
        <v>12</v>
      </c>
      <c r="O3" s="51">
        <v>13</v>
      </c>
      <c r="P3" s="51">
        <v>14</v>
      </c>
      <c r="Q3" s="51">
        <v>15</v>
      </c>
      <c r="R3" s="51">
        <v>16</v>
      </c>
      <c r="S3" s="51">
        <v>17</v>
      </c>
      <c r="T3" s="51">
        <v>18</v>
      </c>
      <c r="U3" s="51">
        <v>19</v>
      </c>
      <c r="V3" s="51">
        <v>20</v>
      </c>
      <c r="W3" s="51">
        <v>21</v>
      </c>
      <c r="X3" s="51">
        <v>22</v>
      </c>
      <c r="Y3" s="51">
        <v>23</v>
      </c>
      <c r="Z3" s="51">
        <v>24</v>
      </c>
      <c r="AA3" s="51">
        <v>25</v>
      </c>
      <c r="AB3" s="51">
        <v>26</v>
      </c>
      <c r="AC3" s="51">
        <v>27</v>
      </c>
      <c r="AD3" s="51">
        <v>28</v>
      </c>
      <c r="AE3" s="51">
        <v>29</v>
      </c>
      <c r="AF3" s="51">
        <v>30</v>
      </c>
      <c r="AG3" s="51">
        <v>31</v>
      </c>
      <c r="AH3" s="157" t="s">
        <v>43</v>
      </c>
      <c r="AI3" s="158"/>
      <c r="AJ3" s="158"/>
      <c r="AK3" s="158"/>
      <c r="AL3" s="159"/>
      <c r="AM3" s="160" t="s">
        <v>42</v>
      </c>
      <c r="AN3" s="161"/>
      <c r="AO3" s="162"/>
      <c r="AP3" s="153"/>
      <c r="AQ3" s="156"/>
    </row>
    <row r="4" spans="1:43" ht="15" thickBot="1">
      <c r="A4" s="144"/>
      <c r="B4" s="146"/>
      <c r="C4" s="133" t="s">
        <v>30</v>
      </c>
      <c r="D4" s="133" t="s">
        <v>30</v>
      </c>
      <c r="E4" s="133" t="s">
        <v>29</v>
      </c>
      <c r="F4" s="133" t="s">
        <v>29</v>
      </c>
      <c r="G4" s="133" t="s">
        <v>29</v>
      </c>
      <c r="H4" s="133" t="s">
        <v>29</v>
      </c>
      <c r="I4" s="133" t="s">
        <v>29</v>
      </c>
      <c r="J4" s="133" t="s">
        <v>30</v>
      </c>
      <c r="K4" s="133" t="s">
        <v>30</v>
      </c>
      <c r="L4" s="133" t="s">
        <v>29</v>
      </c>
      <c r="M4" s="133" t="s">
        <v>29</v>
      </c>
      <c r="N4" s="133" t="s">
        <v>29</v>
      </c>
      <c r="O4" s="133" t="s">
        <v>29</v>
      </c>
      <c r="P4" s="133" t="s">
        <v>29</v>
      </c>
      <c r="Q4" s="133" t="s">
        <v>30</v>
      </c>
      <c r="R4" s="133" t="s">
        <v>30</v>
      </c>
      <c r="S4" s="133" t="s">
        <v>29</v>
      </c>
      <c r="T4" s="133" t="s">
        <v>29</v>
      </c>
      <c r="U4" s="133" t="s">
        <v>29</v>
      </c>
      <c r="V4" s="133" t="s">
        <v>29</v>
      </c>
      <c r="W4" s="133" t="s">
        <v>29</v>
      </c>
      <c r="X4" s="133" t="s">
        <v>30</v>
      </c>
      <c r="Y4" s="133" t="s">
        <v>30</v>
      </c>
      <c r="Z4" s="133" t="s">
        <v>29</v>
      </c>
      <c r="AA4" s="133" t="s">
        <v>29</v>
      </c>
      <c r="AB4" s="133" t="s">
        <v>29</v>
      </c>
      <c r="AC4" s="133" t="s">
        <v>29</v>
      </c>
      <c r="AD4" s="133" t="s">
        <v>29</v>
      </c>
      <c r="AE4" s="133" t="s">
        <v>30</v>
      </c>
      <c r="AF4" s="133" t="s">
        <v>30</v>
      </c>
      <c r="AG4" s="133" t="s">
        <v>29</v>
      </c>
      <c r="AH4" s="137" t="s">
        <v>62</v>
      </c>
      <c r="AI4" s="101" t="s">
        <v>21</v>
      </c>
      <c r="AJ4" s="102" t="s">
        <v>22</v>
      </c>
      <c r="AK4" s="102" t="s">
        <v>60</v>
      </c>
      <c r="AL4" s="103" t="s">
        <v>63</v>
      </c>
      <c r="AM4" s="138" t="s">
        <v>64</v>
      </c>
      <c r="AN4" s="139" t="s">
        <v>65</v>
      </c>
      <c r="AO4" s="140" t="s">
        <v>66</v>
      </c>
      <c r="AP4" s="154"/>
      <c r="AQ4" s="156"/>
    </row>
    <row r="5" spans="1:43" s="1" customFormat="1" ht="15.95" customHeight="1">
      <c r="A5" s="174">
        <v>1</v>
      </c>
      <c r="B5" s="176" t="s">
        <v>2</v>
      </c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178"/>
      <c r="V5" s="178"/>
      <c r="W5" s="178"/>
      <c r="X5" s="64"/>
      <c r="Y5" s="64"/>
      <c r="Z5" s="64"/>
      <c r="AA5" s="64"/>
      <c r="AB5" s="64"/>
      <c r="AC5" s="64"/>
      <c r="AD5" s="64"/>
      <c r="AE5" s="64"/>
      <c r="AF5" s="64"/>
      <c r="AG5" s="64" t="s">
        <v>21</v>
      </c>
      <c r="AH5" s="180" cm="1">
        <f t="array" ref="AH5" xml:space="preserve"> -SUMPRODUCT((C5:AG5&lt;&gt;"年") * (C5:AG5&lt;&gt;"调") * (C5:AG5&lt;&gt;"病") * (C5:AG5&lt;&gt;"事") * C6:AG6)</f>
        <v>0</v>
      </c>
      <c r="AI5" s="163">
        <f>-(SUMIF(C5:AG5,"=年",C6:AG6))</f>
        <v>2</v>
      </c>
      <c r="AJ5" s="165">
        <f>-(SUMIF(C5:AG5,"=调",C6:AG6))</f>
        <v>0</v>
      </c>
      <c r="AK5" s="165">
        <f>-(SUMIF(C5:AG5,"=病",C6:AG6))</f>
        <v>0</v>
      </c>
      <c r="AL5" s="165">
        <f>-(SUMIF(C5:AG5,"=事",C6:AG6))</f>
        <v>0</v>
      </c>
      <c r="AM5" s="70">
        <f>SUMIF(C4:AG4,"P",C5:AG6)</f>
        <v>0</v>
      </c>
      <c r="AN5" s="67">
        <f>SUMIF(C4:AG4,"S",C5:AG6)</f>
        <v>0</v>
      </c>
      <c r="AO5" s="77">
        <f>SUMIF(C4:AG4,"G",C5:AG6)</f>
        <v>0</v>
      </c>
      <c r="AP5" s="167">
        <f>AI5+'2026-07'!AP5</f>
        <v>33.5</v>
      </c>
      <c r="AQ5" s="297" t="s">
        <v>61</v>
      </c>
    </row>
    <row r="6" spans="1:43" s="1" customFormat="1" ht="15.95" customHeight="1">
      <c r="A6" s="175"/>
      <c r="B6" s="177"/>
      <c r="C6" s="16"/>
      <c r="D6" s="16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179"/>
      <c r="V6" s="179"/>
      <c r="W6" s="179"/>
      <c r="X6" s="8"/>
      <c r="Y6" s="8"/>
      <c r="Z6" s="8"/>
      <c r="AA6" s="8"/>
      <c r="AB6" s="8"/>
      <c r="AC6" s="8"/>
      <c r="AD6" s="8"/>
      <c r="AE6" s="8"/>
      <c r="AF6" s="8"/>
      <c r="AG6" s="16">
        <v>-2</v>
      </c>
      <c r="AH6" s="181"/>
      <c r="AI6" s="164"/>
      <c r="AJ6" s="166"/>
      <c r="AK6" s="166"/>
      <c r="AL6" s="166"/>
      <c r="AM6" s="171" t="str">
        <f>IF(SUM(C5:AG5)-AJ5=0,"√",SUM(C5:AG5)-AJ5)</f>
        <v>√</v>
      </c>
      <c r="AN6" s="172"/>
      <c r="AO6" s="173"/>
      <c r="AP6" s="168"/>
      <c r="AQ6" s="298"/>
    </row>
    <row r="7" spans="1:43" s="1" customFormat="1" ht="15.95" customHeight="1">
      <c r="A7" s="185">
        <v>2</v>
      </c>
      <c r="B7" s="186" t="s">
        <v>3</v>
      </c>
      <c r="C7" s="14"/>
      <c r="D7" s="14"/>
      <c r="E7" s="12"/>
      <c r="F7" s="12"/>
      <c r="G7" s="12"/>
      <c r="H7" s="12"/>
      <c r="I7" s="12"/>
      <c r="J7" s="14"/>
      <c r="K7" s="14"/>
      <c r="L7" s="12"/>
      <c r="M7" s="12"/>
      <c r="N7" s="14" t="s">
        <v>21</v>
      </c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4"/>
      <c r="AF7" s="12"/>
      <c r="AG7" s="187"/>
      <c r="AH7" s="181" cm="1">
        <f t="array" ref="AH7" xml:space="preserve"> -SUMPRODUCT((C7:AG7&lt;&gt;"年") * (C7:AG7&lt;&gt;"调") * (C7:AG7&lt;&gt;"病") * (C7:AG7&lt;&gt;"事") * C8:AG8)</f>
        <v>0</v>
      </c>
      <c r="AI7" s="189">
        <f>-(SUMIF(C7:AG7,"=年",C8:AG8))</f>
        <v>8</v>
      </c>
      <c r="AJ7" s="193">
        <f>-(SUMIF(C7:AG7,"=调",C8:AG8))</f>
        <v>0</v>
      </c>
      <c r="AK7" s="193">
        <f>-(SUMIF(C7:AG7,"=病",C8:AG8))</f>
        <v>0</v>
      </c>
      <c r="AL7" s="193">
        <f>-(SUMIF(C7:AG7,"=事",C8:AG8))</f>
        <v>0</v>
      </c>
      <c r="AM7" s="71">
        <f>SUMIF(C4:AG4,"P",C7:AG8)</f>
        <v>0</v>
      </c>
      <c r="AN7" s="57">
        <f>SUMIF(C4:AG4,"S",C7:AG8)</f>
        <v>0</v>
      </c>
      <c r="AO7" s="78">
        <f>SUMIF(C4:AG4,"G",C7:AG8)</f>
        <v>0</v>
      </c>
      <c r="AP7" s="167">
        <f>AI7+'2026-07'!AP7</f>
        <v>68</v>
      </c>
      <c r="AQ7" s="195"/>
    </row>
    <row r="8" spans="1:43" s="1" customFormat="1" ht="15.95" customHeight="1">
      <c r="A8" s="185"/>
      <c r="B8" s="186"/>
      <c r="C8" s="38"/>
      <c r="D8" s="38"/>
      <c r="E8" s="10"/>
      <c r="F8" s="10"/>
      <c r="G8" s="10"/>
      <c r="H8" s="10"/>
      <c r="I8" s="10"/>
      <c r="J8" s="10"/>
      <c r="K8" s="10"/>
      <c r="L8" s="10"/>
      <c r="M8" s="10"/>
      <c r="N8" s="10">
        <v>-8</v>
      </c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88"/>
      <c r="AH8" s="181"/>
      <c r="AI8" s="180"/>
      <c r="AJ8" s="194"/>
      <c r="AK8" s="194"/>
      <c r="AL8" s="194"/>
      <c r="AM8" s="190" t="str">
        <f>IF(SUM(C7:AG7)-AJ7=0,"√",SUM(C7:AG7)-AJ7)</f>
        <v>√</v>
      </c>
      <c r="AN8" s="191"/>
      <c r="AO8" s="192"/>
      <c r="AP8" s="168"/>
      <c r="AQ8" s="196"/>
    </row>
    <row r="9" spans="1:43" s="1" customFormat="1" ht="15.95" customHeight="1">
      <c r="A9" s="182">
        <v>3</v>
      </c>
      <c r="B9" s="183" t="s">
        <v>4</v>
      </c>
      <c r="C9" s="37"/>
      <c r="D9" s="37"/>
      <c r="E9" s="9"/>
      <c r="F9" s="37" t="s">
        <v>54</v>
      </c>
      <c r="G9" s="184"/>
      <c r="H9" s="9"/>
      <c r="I9" s="9"/>
      <c r="J9" s="299"/>
      <c r="K9" s="9"/>
      <c r="L9" s="9"/>
      <c r="M9" s="9"/>
      <c r="N9" s="9"/>
      <c r="O9" s="9"/>
      <c r="P9" s="9"/>
      <c r="Q9" s="197">
        <v>3</v>
      </c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37"/>
      <c r="AF9" s="37"/>
      <c r="AG9" s="131"/>
      <c r="AH9" s="181" cm="1">
        <f t="array" ref="AH9" xml:space="preserve"> -SUMPRODUCT((C9:AG9&lt;&gt;"年") * (C9:AG9&lt;&gt;"调") * (C9:AG9&lt;&gt;"病") * (C9:AG9&lt;&gt;"事") * C10:AG10)</f>
        <v>6</v>
      </c>
      <c r="AI9" s="164">
        <f>-(SUMIF(C9:AG9,"=年",C10:AG10))</f>
        <v>0</v>
      </c>
      <c r="AJ9" s="166">
        <f>-(SUMIF(C9:AG9,"=调",C10:AG10))</f>
        <v>0</v>
      </c>
      <c r="AK9" s="166">
        <f>-(SUMIF(C9:AG9,"=病",C10:AG10))</f>
        <v>0</v>
      </c>
      <c r="AL9" s="166">
        <f>-(SUMIF(C9:AG9,"=事",C10:AG10))</f>
        <v>0</v>
      </c>
      <c r="AM9" s="72">
        <f>SUMIF(C4:AG4,"P",C9:AG10)</f>
        <v>0</v>
      </c>
      <c r="AN9" s="68">
        <f>SUMIF(C4:AG4,"S",C9:AG10)</f>
        <v>3</v>
      </c>
      <c r="AO9" s="79">
        <f>SUMIF(C4:AG4,"G",C9:AG10)</f>
        <v>0</v>
      </c>
      <c r="AP9" s="167">
        <f>AI9+'2026-07'!AP9</f>
        <v>34</v>
      </c>
      <c r="AQ9" s="170"/>
    </row>
    <row r="10" spans="1:43" s="1" customFormat="1" ht="15.95" customHeight="1">
      <c r="A10" s="175"/>
      <c r="B10" s="177"/>
      <c r="C10" s="37"/>
      <c r="D10" s="37"/>
      <c r="E10" s="9"/>
      <c r="F10" s="9">
        <v>-6</v>
      </c>
      <c r="G10" s="179"/>
      <c r="H10" s="9"/>
      <c r="I10" s="9"/>
      <c r="J10" s="299"/>
      <c r="K10" s="9"/>
      <c r="L10" s="9"/>
      <c r="M10" s="9"/>
      <c r="N10" s="9"/>
      <c r="O10" s="6"/>
      <c r="P10" s="10"/>
      <c r="Q10" s="198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131"/>
      <c r="AH10" s="181"/>
      <c r="AI10" s="164"/>
      <c r="AJ10" s="166"/>
      <c r="AK10" s="166"/>
      <c r="AL10" s="166"/>
      <c r="AM10" s="190">
        <f>IF(SUM(C9:AG9)-AJ9=0,"√",SUM(C9:AG9)-AJ9)</f>
        <v>3</v>
      </c>
      <c r="AN10" s="191"/>
      <c r="AO10" s="192"/>
      <c r="AP10" s="168"/>
      <c r="AQ10" s="170"/>
    </row>
    <row r="11" spans="1:43" s="1" customFormat="1" ht="15.95" customHeight="1">
      <c r="A11" s="185">
        <v>4</v>
      </c>
      <c r="B11" s="186" t="s">
        <v>5</v>
      </c>
      <c r="C11" s="197">
        <v>8.5</v>
      </c>
      <c r="D11" s="197">
        <v>8.5</v>
      </c>
      <c r="E11" s="197"/>
      <c r="F11" s="197"/>
      <c r="G11" s="197"/>
      <c r="H11" s="197"/>
      <c r="I11" s="197"/>
      <c r="J11" s="197">
        <v>8.5</v>
      </c>
      <c r="K11" s="197">
        <v>8.5</v>
      </c>
      <c r="L11" s="197"/>
      <c r="M11" s="197"/>
      <c r="N11" s="197"/>
      <c r="O11" s="199"/>
      <c r="P11" s="199"/>
      <c r="Q11" s="197">
        <v>8.5</v>
      </c>
      <c r="R11" s="197"/>
      <c r="S11" s="197"/>
      <c r="T11" s="197"/>
      <c r="U11" s="197">
        <v>3</v>
      </c>
      <c r="V11" s="197">
        <v>3</v>
      </c>
      <c r="W11" s="197"/>
      <c r="X11" s="197">
        <v>8.5</v>
      </c>
      <c r="Y11" s="197"/>
      <c r="Z11" s="197"/>
      <c r="AA11" s="197"/>
      <c r="AB11" s="197"/>
      <c r="AC11" s="197"/>
      <c r="AD11" s="197"/>
      <c r="AE11" s="197">
        <v>8.5</v>
      </c>
      <c r="AF11" s="197">
        <v>8.5</v>
      </c>
      <c r="AG11" s="187"/>
      <c r="AH11" s="181" cm="1">
        <f t="array" ref="AH11" xml:space="preserve"> -SUMPRODUCT((C11:AG11&lt;&gt;"年") * (C11:AG11&lt;&gt;"调") * (C11:AG11&lt;&gt;"病") * (C11:AG11&lt;&gt;"事") * C12:AG12)</f>
        <v>0</v>
      </c>
      <c r="AI11" s="189">
        <f>-(SUMIF(C11:AG11,"=年",C12:AG12))</f>
        <v>0</v>
      </c>
      <c r="AJ11" s="193">
        <f>-(SUMIF(C11:AG11,"=调",C12:AG12))</f>
        <v>0</v>
      </c>
      <c r="AK11" s="193">
        <f>-(SUMIF(C11:AG11,"=病",C12:AG12))</f>
        <v>0</v>
      </c>
      <c r="AL11" s="193">
        <f>-(SUMIF(C11:AG11,"=事",C12:AG12))</f>
        <v>0</v>
      </c>
      <c r="AM11" s="71">
        <f>SUMIF(C4:AG4,"P",C11:AG12)</f>
        <v>6</v>
      </c>
      <c r="AN11" s="46">
        <f>SUMIF(C4:AG4,"S",C11:AG12)</f>
        <v>68</v>
      </c>
      <c r="AO11" s="78">
        <f>SUMIF(C4:AG4,"G",C11:AG12)</f>
        <v>0</v>
      </c>
      <c r="AP11" s="167">
        <f>AI11+'2026-07'!AP11</f>
        <v>4</v>
      </c>
      <c r="AQ11" s="195"/>
    </row>
    <row r="12" spans="1:43" s="1" customFormat="1" ht="15.95" customHeight="1">
      <c r="A12" s="185"/>
      <c r="B12" s="186"/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79"/>
      <c r="P12" s="179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88"/>
      <c r="AH12" s="181"/>
      <c r="AI12" s="180"/>
      <c r="AJ12" s="194"/>
      <c r="AK12" s="194"/>
      <c r="AL12" s="194"/>
      <c r="AM12" s="190">
        <f>IF(SUM(C11:AG11)-AJ11=0,"√",SUM(C11:AG11)-AJ11)</f>
        <v>74</v>
      </c>
      <c r="AN12" s="191"/>
      <c r="AO12" s="200"/>
      <c r="AP12" s="168"/>
      <c r="AQ12" s="196"/>
    </row>
    <row r="13" spans="1:43" s="1" customFormat="1" ht="15.95" customHeight="1">
      <c r="A13" s="182">
        <v>5</v>
      </c>
      <c r="B13" s="183" t="s">
        <v>6</v>
      </c>
      <c r="C13" s="11"/>
      <c r="D13" s="197">
        <v>8.5</v>
      </c>
      <c r="E13" s="197"/>
      <c r="F13" s="197"/>
      <c r="G13" s="197"/>
      <c r="H13" s="197"/>
      <c r="I13" s="197"/>
      <c r="J13" s="197">
        <v>8.5</v>
      </c>
      <c r="K13" s="197">
        <v>8.5</v>
      </c>
      <c r="L13" s="11"/>
      <c r="M13" s="11" t="s">
        <v>22</v>
      </c>
      <c r="N13" s="197"/>
      <c r="O13" s="199"/>
      <c r="P13" s="199"/>
      <c r="Q13" s="197">
        <v>8.5</v>
      </c>
      <c r="R13" s="11"/>
      <c r="S13" s="11" t="s">
        <v>22</v>
      </c>
      <c r="T13" s="11"/>
      <c r="U13" s="199"/>
      <c r="V13" s="199"/>
      <c r="W13" s="199"/>
      <c r="X13" s="197">
        <v>8.5</v>
      </c>
      <c r="Y13" s="11"/>
      <c r="Z13" s="11"/>
      <c r="AA13" s="197"/>
      <c r="AB13" s="11" t="s">
        <v>22</v>
      </c>
      <c r="AC13" s="11" t="s">
        <v>22</v>
      </c>
      <c r="AD13" s="197"/>
      <c r="AE13" s="197">
        <v>8.5</v>
      </c>
      <c r="AF13" s="197">
        <v>8.5</v>
      </c>
      <c r="AG13" s="187"/>
      <c r="AH13" s="181" cm="1">
        <f t="array" ref="AH13" xml:space="preserve"> -SUMPRODUCT((C13:AG13&lt;&gt;"年") * (C13:AG13&lt;&gt;"调") * (C13:AG13&lt;&gt;"病") * (C13:AG13&lt;&gt;"事") * C14:AG14)</f>
        <v>0</v>
      </c>
      <c r="AI13" s="164">
        <f>-(SUMIF(C13:AG13,"=年",C14:AG14))</f>
        <v>0</v>
      </c>
      <c r="AJ13" s="166">
        <f>-(SUMIF(C13:AG13,"=调",C14:AG14))</f>
        <v>15</v>
      </c>
      <c r="AK13" s="166">
        <f>-(SUMIF(C13:AG13,"=病",C14:AG14))</f>
        <v>0</v>
      </c>
      <c r="AL13" s="166">
        <f>-(SUMIF(C13:AG13,"=事",C14:AG14))</f>
        <v>0</v>
      </c>
      <c r="AM13" s="72">
        <f>SUMIF(C4:AG4,"P",C13:AG14)</f>
        <v>0</v>
      </c>
      <c r="AN13" s="68">
        <f>SUMIF(C4:AG4,"S",C13:AG14)</f>
        <v>59.5</v>
      </c>
      <c r="AO13" s="79">
        <f>SUMIF(C4:AG4,"G",C13:AG14)</f>
        <v>0</v>
      </c>
      <c r="AP13" s="167">
        <f>AI13+'2026-07'!AP13</f>
        <v>21.5</v>
      </c>
      <c r="AQ13" s="201"/>
    </row>
    <row r="14" spans="1:43" s="1" customFormat="1" ht="15.95" customHeight="1">
      <c r="A14" s="175"/>
      <c r="B14" s="177"/>
      <c r="C14" s="15"/>
      <c r="D14" s="198"/>
      <c r="E14" s="198"/>
      <c r="F14" s="198"/>
      <c r="G14" s="198"/>
      <c r="H14" s="198"/>
      <c r="I14" s="198"/>
      <c r="J14" s="198"/>
      <c r="K14" s="198"/>
      <c r="L14" s="15"/>
      <c r="M14" s="15">
        <v>-3</v>
      </c>
      <c r="N14" s="198"/>
      <c r="O14" s="179"/>
      <c r="P14" s="179"/>
      <c r="Q14" s="198"/>
      <c r="R14" s="15"/>
      <c r="S14" s="15">
        <v>-2</v>
      </c>
      <c r="T14" s="15"/>
      <c r="U14" s="179"/>
      <c r="V14" s="179"/>
      <c r="W14" s="179"/>
      <c r="X14" s="198"/>
      <c r="Y14" s="15"/>
      <c r="Z14" s="15"/>
      <c r="AA14" s="198"/>
      <c r="AB14" s="15">
        <v>-2</v>
      </c>
      <c r="AC14" s="15">
        <v>-8</v>
      </c>
      <c r="AD14" s="198"/>
      <c r="AE14" s="198"/>
      <c r="AF14" s="198"/>
      <c r="AG14" s="188"/>
      <c r="AH14" s="181"/>
      <c r="AI14" s="164"/>
      <c r="AJ14" s="166"/>
      <c r="AK14" s="166"/>
      <c r="AL14" s="166"/>
      <c r="AM14" s="171">
        <f>IF(SUM(C13:AG13)-AJ13=0,"√",SUM(C13:AG13)-AJ13)</f>
        <v>44.5</v>
      </c>
      <c r="AN14" s="172"/>
      <c r="AO14" s="173"/>
      <c r="AP14" s="168"/>
      <c r="AQ14" s="201"/>
    </row>
    <row r="15" spans="1:43" s="1" customFormat="1" ht="15.95" customHeight="1">
      <c r="A15" s="185">
        <v>6</v>
      </c>
      <c r="B15" s="186" t="s">
        <v>7</v>
      </c>
      <c r="C15" s="197"/>
      <c r="D15" s="197">
        <v>8.5</v>
      </c>
      <c r="E15" s="197"/>
      <c r="F15" s="197"/>
      <c r="G15" s="197"/>
      <c r="H15" s="197"/>
      <c r="I15" s="197"/>
      <c r="J15" s="197">
        <v>8.5</v>
      </c>
      <c r="K15" s="197">
        <v>8.5</v>
      </c>
      <c r="L15" s="197"/>
      <c r="M15" s="197"/>
      <c r="N15" s="197"/>
      <c r="O15" s="199"/>
      <c r="P15" s="199"/>
      <c r="Q15" s="197">
        <v>8.5</v>
      </c>
      <c r="R15" s="197">
        <v>8.5</v>
      </c>
      <c r="S15" s="197"/>
      <c r="T15" s="197"/>
      <c r="U15" s="197"/>
      <c r="V15" s="204"/>
      <c r="W15" s="197"/>
      <c r="X15" s="197"/>
      <c r="Y15" s="197">
        <v>8.5</v>
      </c>
      <c r="Z15" s="197"/>
      <c r="AA15" s="197">
        <v>3</v>
      </c>
      <c r="AB15" s="197">
        <v>3</v>
      </c>
      <c r="AC15" s="197">
        <v>3</v>
      </c>
      <c r="AD15" s="197">
        <v>3</v>
      </c>
      <c r="AE15" s="197">
        <v>11.5</v>
      </c>
      <c r="AF15" s="197">
        <v>11.5</v>
      </c>
      <c r="AG15" s="187"/>
      <c r="AH15" s="181" cm="1">
        <f t="array" ref="AH15" xml:space="preserve"> -SUMPRODUCT((C15:AG15&lt;&gt;"年") * (C15:AG15&lt;&gt;"调") * (C15:AG15&lt;&gt;"病") * (C15:AG15&lt;&gt;"事") * C16:AG16)</f>
        <v>0</v>
      </c>
      <c r="AI15" s="189">
        <f>-(SUMIF(C15:AG15,"=年",C16:AG16))</f>
        <v>0</v>
      </c>
      <c r="AJ15" s="193">
        <f>-(SUMIF(C15:AG15,"=调",C16:AG16))</f>
        <v>0</v>
      </c>
      <c r="AK15" s="193">
        <f>-(SUMIF(C15:AG15,"=病",C16:AG16))</f>
        <v>0</v>
      </c>
      <c r="AL15" s="193">
        <f>-(SUMIF(C15:AG15,"=事",C16:AG16))</f>
        <v>0</v>
      </c>
      <c r="AM15" s="71">
        <f>SUMIF(C4:AG4,"P",C15:AG16)</f>
        <v>12</v>
      </c>
      <c r="AN15" s="46">
        <f>SUMIF(C4:AG4,"S",C15:AG16)</f>
        <v>74</v>
      </c>
      <c r="AO15" s="78">
        <f>SUMIF(C4:AG4,"G",C15:AG16)</f>
        <v>0</v>
      </c>
      <c r="AP15" s="167">
        <f>AI15+'2026-07'!AP15</f>
        <v>15</v>
      </c>
      <c r="AQ15" s="202"/>
    </row>
    <row r="16" spans="1:43" s="1" customFormat="1" ht="15.95" customHeight="1">
      <c r="A16" s="185"/>
      <c r="B16" s="186"/>
      <c r="C16" s="198"/>
      <c r="D16" s="198"/>
      <c r="E16" s="198"/>
      <c r="F16" s="198"/>
      <c r="G16" s="198"/>
      <c r="H16" s="198"/>
      <c r="I16" s="198"/>
      <c r="J16" s="198"/>
      <c r="K16" s="198"/>
      <c r="L16" s="198"/>
      <c r="M16" s="198"/>
      <c r="N16" s="198"/>
      <c r="O16" s="179"/>
      <c r="P16" s="179"/>
      <c r="Q16" s="198"/>
      <c r="R16" s="198"/>
      <c r="S16" s="198"/>
      <c r="T16" s="198"/>
      <c r="U16" s="198"/>
      <c r="V16" s="179"/>
      <c r="W16" s="198"/>
      <c r="X16" s="198"/>
      <c r="Y16" s="198"/>
      <c r="Z16" s="198"/>
      <c r="AA16" s="198"/>
      <c r="AB16" s="198"/>
      <c r="AC16" s="198"/>
      <c r="AD16" s="198"/>
      <c r="AE16" s="198"/>
      <c r="AF16" s="198"/>
      <c r="AG16" s="188"/>
      <c r="AH16" s="181"/>
      <c r="AI16" s="180"/>
      <c r="AJ16" s="194"/>
      <c r="AK16" s="194"/>
      <c r="AL16" s="194"/>
      <c r="AM16" s="190">
        <f>IF(SUM(C15:AG15)-AJ15=0,"√",SUM(C15:AG15)-AJ15)</f>
        <v>86</v>
      </c>
      <c r="AN16" s="191"/>
      <c r="AO16" s="200"/>
      <c r="AP16" s="168"/>
      <c r="AQ16" s="203"/>
    </row>
    <row r="17" spans="1:43" s="1" customFormat="1" ht="15.95" customHeight="1">
      <c r="A17" s="182">
        <v>7</v>
      </c>
      <c r="B17" s="183" t="s">
        <v>8</v>
      </c>
      <c r="C17" s="37"/>
      <c r="D17" s="37"/>
      <c r="E17" s="9"/>
      <c r="F17" s="9"/>
      <c r="G17" s="37" t="s">
        <v>21</v>
      </c>
      <c r="H17" s="9"/>
      <c r="I17" s="37" t="s">
        <v>21</v>
      </c>
      <c r="J17" s="9"/>
      <c r="K17" s="9"/>
      <c r="L17" s="9"/>
      <c r="M17" s="9"/>
      <c r="N17" s="9"/>
      <c r="O17" s="8"/>
      <c r="P17" s="9"/>
      <c r="Q17" s="9"/>
      <c r="R17" s="37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131"/>
      <c r="AH17" s="181" cm="1">
        <f t="array" ref="AH17" xml:space="preserve"> -SUMPRODUCT((C17:AG17&lt;&gt;"年") * (C17:AG17&lt;&gt;"调") * (C17:AG17&lt;&gt;"病") * (C17:AG17&lt;&gt;"事") * C18:AG18)</f>
        <v>0</v>
      </c>
      <c r="AI17" s="164">
        <f>-(SUMIF(C17:AG17,"=年",C18:AG18))</f>
        <v>8</v>
      </c>
      <c r="AJ17" s="166">
        <f>-(SUMIF(C17:AG17,"=调",C18:AG18))</f>
        <v>0</v>
      </c>
      <c r="AK17" s="166">
        <f>-(SUMIF(C17:AG17,"=病",C18:AG18))</f>
        <v>0</v>
      </c>
      <c r="AL17" s="166">
        <f>-(SUMIF(C17:AG17,"=事",C18:AG18))</f>
        <v>0</v>
      </c>
      <c r="AM17" s="72">
        <f>SUMIF(C4:AG4,"P",C17:AG18)</f>
        <v>0</v>
      </c>
      <c r="AN17" s="68">
        <f>SUMIF(C4:AG4,"S",C17:AG18)</f>
        <v>0</v>
      </c>
      <c r="AO17" s="79">
        <f>SUMIF(C4:AG4,"G",C17:AG18)</f>
        <v>0</v>
      </c>
      <c r="AP17" s="167">
        <f>AI17+'2026-07'!AP17</f>
        <v>33</v>
      </c>
      <c r="AQ17" s="170"/>
    </row>
    <row r="18" spans="1:43" s="1" customFormat="1" ht="15.95" customHeight="1">
      <c r="A18" s="175"/>
      <c r="B18" s="177"/>
      <c r="C18" s="37"/>
      <c r="D18" s="37"/>
      <c r="E18" s="9"/>
      <c r="F18" s="9"/>
      <c r="G18" s="9">
        <v>-4</v>
      </c>
      <c r="H18" s="9"/>
      <c r="I18" s="9">
        <v>-4</v>
      </c>
      <c r="J18" s="9"/>
      <c r="K18" s="9"/>
      <c r="L18" s="9"/>
      <c r="M18" s="9"/>
      <c r="N18" s="9"/>
      <c r="O18" s="6"/>
      <c r="P18" s="10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131"/>
      <c r="AH18" s="181"/>
      <c r="AI18" s="164"/>
      <c r="AJ18" s="166"/>
      <c r="AK18" s="166"/>
      <c r="AL18" s="166"/>
      <c r="AM18" s="171" t="str">
        <f>IF(SUM(C17:AG17)-AJ17=0,"√",SUM(C17:AG17)-AJ17)</f>
        <v>√</v>
      </c>
      <c r="AN18" s="172"/>
      <c r="AO18" s="173"/>
      <c r="AP18" s="168"/>
      <c r="AQ18" s="170"/>
    </row>
    <row r="19" spans="1:43" s="1" customFormat="1" ht="15.95" customHeight="1">
      <c r="A19" s="185">
        <v>8</v>
      </c>
      <c r="B19" s="186" t="s">
        <v>9</v>
      </c>
      <c r="C19" s="197">
        <v>8.5</v>
      </c>
      <c r="D19" s="197">
        <v>8.5</v>
      </c>
      <c r="E19" s="197"/>
      <c r="F19" s="197"/>
      <c r="G19" s="197"/>
      <c r="H19" s="197"/>
      <c r="I19" s="11"/>
      <c r="J19" s="197">
        <v>8.5</v>
      </c>
      <c r="K19" s="197">
        <v>8.5</v>
      </c>
      <c r="L19" s="11"/>
      <c r="M19" s="197"/>
      <c r="N19" s="197">
        <v>3.5</v>
      </c>
      <c r="O19" s="16" t="s">
        <v>21</v>
      </c>
      <c r="P19" s="199"/>
      <c r="Q19" s="197">
        <v>8.5</v>
      </c>
      <c r="R19" s="197">
        <v>8.5</v>
      </c>
      <c r="S19" s="197"/>
      <c r="T19" s="197"/>
      <c r="U19" s="197"/>
      <c r="V19" s="11"/>
      <c r="W19" s="197"/>
      <c r="X19" s="197">
        <v>8.5</v>
      </c>
      <c r="Y19" s="197">
        <v>8.5</v>
      </c>
      <c r="Z19" s="197"/>
      <c r="AA19" s="197"/>
      <c r="AB19" s="197"/>
      <c r="AC19" s="197"/>
      <c r="AD19" s="197"/>
      <c r="AE19" s="197">
        <v>8.5</v>
      </c>
      <c r="AF19" s="197">
        <v>8.5</v>
      </c>
      <c r="AG19" s="187"/>
      <c r="AH19" s="181" cm="1">
        <f t="array" ref="AH19" xml:space="preserve"> -SUMPRODUCT((C19:AG19&lt;&gt;"年") * (C19:AG19&lt;&gt;"调") * (C19:AG19&lt;&gt;"病") * (C19:AG19&lt;&gt;"事") * C20:AG20)</f>
        <v>0</v>
      </c>
      <c r="AI19" s="189">
        <f>-(SUMIF(C19:AG19,"=年",C20:AG20))</f>
        <v>8</v>
      </c>
      <c r="AJ19" s="193">
        <f>-(SUMIF(C19:AG19,"=调",C20:AG20))</f>
        <v>0</v>
      </c>
      <c r="AK19" s="193">
        <f>-(SUMIF(C19:AG19,"=病",C20:AG20))</f>
        <v>0</v>
      </c>
      <c r="AL19" s="193">
        <f>-(SUMIF(C19:AG19,"=事",C20:AG20))</f>
        <v>0</v>
      </c>
      <c r="AM19" s="71">
        <f>SUMIF(C4:AG4,"P",C19:AG20)</f>
        <v>3.5</v>
      </c>
      <c r="AN19" s="46">
        <f>SUMIF(C4:AG4,"S",C19:AG20)</f>
        <v>85</v>
      </c>
      <c r="AO19" s="78">
        <f>SUMIF(C4:AG4,"G",C19:AG20)</f>
        <v>0</v>
      </c>
      <c r="AP19" s="167">
        <f>AI19+'2026-07'!AP19</f>
        <v>34.5</v>
      </c>
      <c r="AQ19" s="205"/>
    </row>
    <row r="20" spans="1:43" s="1" customFormat="1" ht="15.95" customHeight="1">
      <c r="A20" s="185"/>
      <c r="B20" s="186"/>
      <c r="C20" s="198"/>
      <c r="D20" s="198"/>
      <c r="E20" s="198"/>
      <c r="F20" s="198"/>
      <c r="G20" s="198"/>
      <c r="H20" s="198"/>
      <c r="I20" s="15"/>
      <c r="J20" s="198"/>
      <c r="K20" s="198"/>
      <c r="L20" s="15"/>
      <c r="M20" s="198"/>
      <c r="N20" s="198"/>
      <c r="O20" s="6">
        <v>-8</v>
      </c>
      <c r="P20" s="179"/>
      <c r="Q20" s="198"/>
      <c r="R20" s="198"/>
      <c r="S20" s="198"/>
      <c r="T20" s="198"/>
      <c r="U20" s="198"/>
      <c r="V20" s="15"/>
      <c r="W20" s="198"/>
      <c r="X20" s="198"/>
      <c r="Y20" s="198"/>
      <c r="Z20" s="198"/>
      <c r="AA20" s="198"/>
      <c r="AB20" s="198"/>
      <c r="AC20" s="198"/>
      <c r="AD20" s="198"/>
      <c r="AE20" s="198"/>
      <c r="AF20" s="198"/>
      <c r="AG20" s="188"/>
      <c r="AH20" s="181"/>
      <c r="AI20" s="180"/>
      <c r="AJ20" s="194"/>
      <c r="AK20" s="194"/>
      <c r="AL20" s="194"/>
      <c r="AM20" s="190">
        <f>IF(SUM(C19:AG19)-AJ19=0,"√",SUM(C19:AG19)-AJ19)</f>
        <v>88.5</v>
      </c>
      <c r="AN20" s="191"/>
      <c r="AO20" s="200"/>
      <c r="AP20" s="168"/>
      <c r="AQ20" s="206"/>
    </row>
    <row r="21" spans="1:43" s="1" customFormat="1" ht="15.95" customHeight="1">
      <c r="A21" s="182">
        <v>9</v>
      </c>
      <c r="B21" s="183" t="s">
        <v>11</v>
      </c>
      <c r="C21" s="197">
        <v>8.5</v>
      </c>
      <c r="D21" s="197">
        <v>8.5</v>
      </c>
      <c r="E21" s="11" t="s">
        <v>60</v>
      </c>
      <c r="F21" s="197"/>
      <c r="G21" s="197"/>
      <c r="H21" s="197"/>
      <c r="I21" s="197"/>
      <c r="J21" s="197"/>
      <c r="K21" s="197"/>
      <c r="L21" s="197"/>
      <c r="M21" s="197"/>
      <c r="N21" s="197"/>
      <c r="O21" s="16"/>
      <c r="P21" s="16"/>
      <c r="Q21" s="197">
        <v>8.5</v>
      </c>
      <c r="R21" s="197">
        <v>8.5</v>
      </c>
      <c r="S21" s="197"/>
      <c r="T21" s="197"/>
      <c r="U21" s="197"/>
      <c r="V21" s="199"/>
      <c r="W21" s="197"/>
      <c r="X21" s="197"/>
      <c r="Y21" s="197">
        <v>8.5</v>
      </c>
      <c r="Z21" s="11" t="s">
        <v>21</v>
      </c>
      <c r="AA21" s="197"/>
      <c r="AB21" s="197"/>
      <c r="AC21" s="197"/>
      <c r="AD21" s="11"/>
      <c r="AE21" s="197"/>
      <c r="AF21" s="197">
        <v>8.5</v>
      </c>
      <c r="AG21" s="187"/>
      <c r="AH21" s="181" cm="1">
        <f t="array" ref="AH21" xml:space="preserve"> -SUMPRODUCT((C21:AG21&lt;&gt;"年") * (C21:AG21&lt;&gt;"调") * (C21:AG21&lt;&gt;"病") * (C21:AG21&lt;&gt;"事") * C22:AG22)</f>
        <v>0</v>
      </c>
      <c r="AI21" s="164">
        <f>-(SUMIF(C21:AG21,"=年",C22:AG22))</f>
        <v>8</v>
      </c>
      <c r="AJ21" s="166">
        <f>-(SUMIF(C21:AG21,"=调",C22:AG22))</f>
        <v>0</v>
      </c>
      <c r="AK21" s="166">
        <f>-(SUMIF(C21:AG21,"=病",C22:AG22))</f>
        <v>40</v>
      </c>
      <c r="AL21" s="166">
        <f>-(SUMIF(C21:AG21,"=事",C22:AG22))</f>
        <v>0</v>
      </c>
      <c r="AM21" s="72">
        <f>SUMIF(C4:AG4,"P",C21:AG22)</f>
        <v>0</v>
      </c>
      <c r="AN21" s="68">
        <f>SUMIF(C4:AG4,"S",C21:AG22)</f>
        <v>51</v>
      </c>
      <c r="AO21" s="79">
        <f>SUMIF(C4:AG4,"G",C21:AG22)</f>
        <v>0</v>
      </c>
      <c r="AP21" s="167">
        <f>AI21+'2026-07'!AP21</f>
        <v>45</v>
      </c>
      <c r="AQ21" s="201"/>
    </row>
    <row r="22" spans="1:43" s="1" customFormat="1" ht="15.95" customHeight="1">
      <c r="A22" s="175"/>
      <c r="B22" s="177"/>
      <c r="C22" s="198"/>
      <c r="D22" s="198"/>
      <c r="E22" s="15">
        <v>-40</v>
      </c>
      <c r="F22" s="198"/>
      <c r="G22" s="198"/>
      <c r="H22" s="198"/>
      <c r="I22" s="198"/>
      <c r="J22" s="198"/>
      <c r="K22" s="198"/>
      <c r="L22" s="198"/>
      <c r="M22" s="198"/>
      <c r="N22" s="198"/>
      <c r="O22" s="6"/>
      <c r="P22" s="6"/>
      <c r="Q22" s="198"/>
      <c r="R22" s="198"/>
      <c r="S22" s="198"/>
      <c r="T22" s="198"/>
      <c r="U22" s="198"/>
      <c r="V22" s="179"/>
      <c r="W22" s="198"/>
      <c r="X22" s="198"/>
      <c r="Y22" s="198"/>
      <c r="Z22" s="15">
        <v>-8</v>
      </c>
      <c r="AA22" s="198"/>
      <c r="AB22" s="198"/>
      <c r="AC22" s="198"/>
      <c r="AD22" s="15"/>
      <c r="AE22" s="198"/>
      <c r="AF22" s="198"/>
      <c r="AG22" s="188"/>
      <c r="AH22" s="181"/>
      <c r="AI22" s="164"/>
      <c r="AJ22" s="166"/>
      <c r="AK22" s="166"/>
      <c r="AL22" s="166"/>
      <c r="AM22" s="171">
        <f>IF(SUM(C21:AG21)-AJ21=0,"√",SUM(C21:AG21)-AJ21)</f>
        <v>51</v>
      </c>
      <c r="AN22" s="172"/>
      <c r="AO22" s="173"/>
      <c r="AP22" s="168"/>
      <c r="AQ22" s="201"/>
    </row>
    <row r="23" spans="1:43" s="1" customFormat="1" ht="15.95" customHeight="1">
      <c r="A23" s="185">
        <v>10</v>
      </c>
      <c r="B23" s="186" t="s">
        <v>12</v>
      </c>
      <c r="C23" s="197">
        <v>8.5</v>
      </c>
      <c r="D23" s="197"/>
      <c r="E23" s="197"/>
      <c r="F23" s="197"/>
      <c r="G23" s="11" t="s">
        <v>21</v>
      </c>
      <c r="H23" s="11" t="s">
        <v>21</v>
      </c>
      <c r="I23" s="197"/>
      <c r="J23" s="197">
        <v>8.5</v>
      </c>
      <c r="K23" s="197">
        <v>8.5</v>
      </c>
      <c r="L23" s="197"/>
      <c r="M23" s="197"/>
      <c r="N23" s="197"/>
      <c r="O23" s="199"/>
      <c r="P23" s="199"/>
      <c r="Q23" s="197"/>
      <c r="R23" s="197">
        <v>8.5</v>
      </c>
      <c r="S23" s="197"/>
      <c r="T23" s="197"/>
      <c r="U23" s="11" t="s">
        <v>21</v>
      </c>
      <c r="V23" s="14" t="s">
        <v>21</v>
      </c>
      <c r="W23" s="14" t="s">
        <v>21</v>
      </c>
      <c r="X23" s="197"/>
      <c r="Y23" s="197">
        <v>8.5</v>
      </c>
      <c r="Z23" s="197"/>
      <c r="AA23" s="197"/>
      <c r="AB23" s="197"/>
      <c r="AC23" s="197"/>
      <c r="AD23" s="197"/>
      <c r="AE23" s="197">
        <v>8.5</v>
      </c>
      <c r="AF23" s="197">
        <v>8.5</v>
      </c>
      <c r="AG23" s="187"/>
      <c r="AH23" s="181" cm="1">
        <f t="array" ref="AH23" xml:space="preserve"> -SUMPRODUCT((C23:AG23&lt;&gt;"年") * (C23:AG23&lt;&gt;"调") * (C23:AG23&lt;&gt;"病") * (C23:AG23&lt;&gt;"事") * C24:AG24)</f>
        <v>0</v>
      </c>
      <c r="AI23" s="189">
        <f>-(SUMIF(C23:AG23,"=年",C24:AG24))</f>
        <v>36</v>
      </c>
      <c r="AJ23" s="193">
        <f>-(SUMIF(C23:AG23,"=调",C24:AG24))</f>
        <v>0</v>
      </c>
      <c r="AK23" s="193">
        <f>-(SUMIF(C23:AG23,"=病",C24:AG24))</f>
        <v>0</v>
      </c>
      <c r="AL23" s="193">
        <f>-(SUMIF(C23:AG23,"=事",C24:AG24))</f>
        <v>0</v>
      </c>
      <c r="AM23" s="71">
        <f>SUMIF(C4:AG4,"P",C23:AG24)</f>
        <v>0</v>
      </c>
      <c r="AN23" s="46">
        <f>SUMIF(C4:AG4,"S",C23:AG24)</f>
        <v>59.5</v>
      </c>
      <c r="AO23" s="78">
        <f>SUMIF(C4:AG4,"G",C23:AG24)</f>
        <v>0</v>
      </c>
      <c r="AP23" s="167">
        <f>AI23+'2026-07'!AP23</f>
        <v>49</v>
      </c>
      <c r="AQ23" s="195"/>
    </row>
    <row r="24" spans="1:43" s="1" customFormat="1" ht="15.95" customHeight="1">
      <c r="A24" s="185"/>
      <c r="B24" s="186"/>
      <c r="C24" s="198"/>
      <c r="D24" s="198"/>
      <c r="E24" s="198"/>
      <c r="F24" s="198"/>
      <c r="G24" s="15">
        <v>-4</v>
      </c>
      <c r="H24" s="15">
        <v>-8</v>
      </c>
      <c r="I24" s="198"/>
      <c r="J24" s="198"/>
      <c r="K24" s="198"/>
      <c r="L24" s="198"/>
      <c r="M24" s="198"/>
      <c r="N24" s="198"/>
      <c r="O24" s="179"/>
      <c r="P24" s="179"/>
      <c r="Q24" s="198"/>
      <c r="R24" s="198"/>
      <c r="S24" s="198"/>
      <c r="T24" s="198"/>
      <c r="U24" s="6">
        <v>-8</v>
      </c>
      <c r="V24" s="10">
        <v>-8</v>
      </c>
      <c r="W24" s="10">
        <v>-8</v>
      </c>
      <c r="X24" s="198"/>
      <c r="Y24" s="198"/>
      <c r="Z24" s="198"/>
      <c r="AA24" s="198"/>
      <c r="AB24" s="198"/>
      <c r="AC24" s="198"/>
      <c r="AD24" s="198"/>
      <c r="AE24" s="198"/>
      <c r="AF24" s="198"/>
      <c r="AG24" s="188"/>
      <c r="AH24" s="181"/>
      <c r="AI24" s="180"/>
      <c r="AJ24" s="194"/>
      <c r="AK24" s="194"/>
      <c r="AL24" s="194"/>
      <c r="AM24" s="190">
        <f>IF(SUM(C23:AG23)-AJ23=0,"√",SUM(C23:AG23)-AJ23)</f>
        <v>59.5</v>
      </c>
      <c r="AN24" s="191"/>
      <c r="AO24" s="200"/>
      <c r="AP24" s="168"/>
      <c r="AQ24" s="196"/>
    </row>
    <row r="25" spans="1:43" s="1" customFormat="1" ht="15.95" customHeight="1">
      <c r="A25" s="185">
        <v>11</v>
      </c>
      <c r="B25" s="186" t="s">
        <v>14</v>
      </c>
      <c r="C25" s="197">
        <v>8.5</v>
      </c>
      <c r="D25" s="197">
        <v>8.5</v>
      </c>
      <c r="E25" s="197"/>
      <c r="F25" s="197"/>
      <c r="G25" s="197"/>
      <c r="H25" s="197"/>
      <c r="I25" s="197"/>
      <c r="J25" s="197">
        <v>8.5</v>
      </c>
      <c r="K25" s="197">
        <v>8.5</v>
      </c>
      <c r="L25" s="197"/>
      <c r="M25" s="197"/>
      <c r="N25" s="197"/>
      <c r="O25" s="199"/>
      <c r="P25" s="199"/>
      <c r="Q25" s="197"/>
      <c r="R25" s="197">
        <v>8.5</v>
      </c>
      <c r="S25" s="197"/>
      <c r="T25" s="197"/>
      <c r="U25" s="204"/>
      <c r="V25" s="199"/>
      <c r="W25" s="16"/>
      <c r="X25" s="197"/>
      <c r="Y25" s="197">
        <v>8.5</v>
      </c>
      <c r="Z25" s="11" t="s">
        <v>21</v>
      </c>
      <c r="AA25" s="197"/>
      <c r="AB25" s="197"/>
      <c r="AC25" s="197"/>
      <c r="AD25" s="197"/>
      <c r="AE25" s="197">
        <v>8.5</v>
      </c>
      <c r="AF25" s="197">
        <v>8.5</v>
      </c>
      <c r="AG25" s="187"/>
      <c r="AH25" s="181" cm="1">
        <f t="array" ref="AH25" xml:space="preserve"> -SUMPRODUCT((C25:AG25&lt;&gt;"年") * (C25:AG25&lt;&gt;"调") * (C25:AG25&lt;&gt;"病") * (C25:AG25&lt;&gt;"事") * C26:AG26)</f>
        <v>0</v>
      </c>
      <c r="AI25" s="189">
        <f>-(SUMIF(C25:AG25,"=年",C26:AG26))</f>
        <v>1</v>
      </c>
      <c r="AJ25" s="193">
        <f>-(SUMIF(C25:AG25,"=调",C26:AG26))</f>
        <v>0</v>
      </c>
      <c r="AK25" s="193">
        <f>-(SUMIF(C25:AG25,"=病",C26:AG26))</f>
        <v>0</v>
      </c>
      <c r="AL25" s="193">
        <f>-(SUMIF(C25:AG25,"=事",C26:AG26))</f>
        <v>0</v>
      </c>
      <c r="AM25" s="71">
        <f>SUMIF(C4:AG4,"P",C25:AG26)</f>
        <v>0</v>
      </c>
      <c r="AN25" s="46">
        <f>SUMIF(C4:AG4,"S",C25:AG26)</f>
        <v>68</v>
      </c>
      <c r="AO25" s="78">
        <f>SUMIF(C4:AG4,"G",C25:AG26)</f>
        <v>0</v>
      </c>
      <c r="AP25" s="167">
        <f>AI25+'2026-07'!AP25</f>
        <v>35</v>
      </c>
      <c r="AQ25" s="195"/>
    </row>
    <row r="26" spans="1:43" s="1" customFormat="1" ht="15.95" customHeight="1">
      <c r="A26" s="185"/>
      <c r="B26" s="186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198"/>
      <c r="O26" s="179"/>
      <c r="P26" s="179"/>
      <c r="Q26" s="198"/>
      <c r="R26" s="198"/>
      <c r="S26" s="198"/>
      <c r="T26" s="198"/>
      <c r="U26" s="198"/>
      <c r="V26" s="179"/>
      <c r="W26" s="6"/>
      <c r="X26" s="198"/>
      <c r="Y26" s="198"/>
      <c r="Z26" s="15">
        <v>-1</v>
      </c>
      <c r="AA26" s="198"/>
      <c r="AB26" s="198"/>
      <c r="AC26" s="198"/>
      <c r="AD26" s="198"/>
      <c r="AE26" s="198"/>
      <c r="AF26" s="198"/>
      <c r="AG26" s="188"/>
      <c r="AH26" s="181"/>
      <c r="AI26" s="180"/>
      <c r="AJ26" s="194"/>
      <c r="AK26" s="194"/>
      <c r="AL26" s="194"/>
      <c r="AM26" s="190">
        <f>IF(SUM(C25:AG25)-AJ25=0,"√",SUM(C25:AG25)-AJ25)</f>
        <v>68</v>
      </c>
      <c r="AN26" s="191"/>
      <c r="AO26" s="200"/>
      <c r="AP26" s="168"/>
      <c r="AQ26" s="196"/>
    </row>
    <row r="27" spans="1:43" s="1" customFormat="1" ht="15.95" customHeight="1">
      <c r="A27" s="182">
        <v>12</v>
      </c>
      <c r="B27" s="183" t="s">
        <v>34</v>
      </c>
      <c r="C27" s="37"/>
      <c r="D27" s="37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37"/>
      <c r="W27" s="37" t="s">
        <v>21</v>
      </c>
      <c r="X27" s="9"/>
      <c r="Y27" s="9"/>
      <c r="Z27" s="37"/>
      <c r="AA27" s="9"/>
      <c r="AB27" s="9"/>
      <c r="AC27" s="37" t="s">
        <v>21</v>
      </c>
      <c r="AD27" s="9"/>
      <c r="AE27" s="9"/>
      <c r="AF27" s="9"/>
      <c r="AG27" s="131"/>
      <c r="AH27" s="181" cm="1">
        <f t="array" ref="AH27" xml:space="preserve"> -SUMPRODUCT((C27:AG27&lt;&gt;"年") * (C27:AG27&lt;&gt;"调") * (C27:AG27&lt;&gt;"病") * (C27:AG27&lt;&gt;"事") * C28:AG28)</f>
        <v>0</v>
      </c>
      <c r="AI27" s="164">
        <f>-(SUMIF(C27:AG27,"=年",C28:AG28))</f>
        <v>10</v>
      </c>
      <c r="AJ27" s="166">
        <f>-(SUMIF(C27:AG27,"=调",C28:AG28))</f>
        <v>0</v>
      </c>
      <c r="AK27" s="166">
        <f>-(SUMIF(C27:AG27,"=病",C28:AG28))</f>
        <v>0</v>
      </c>
      <c r="AL27" s="166">
        <f>-(SUMIF(C27:AG27,"=事",C28:AG28))</f>
        <v>0</v>
      </c>
      <c r="AM27" s="72">
        <f>SUMIF(C4:AG4,"P",C27:AG28)</f>
        <v>0</v>
      </c>
      <c r="AN27" s="68">
        <f>SUMIF(C4:AG4,"S",C27:AG28)-AJ27</f>
        <v>0</v>
      </c>
      <c r="AO27" s="79">
        <f>SUMIF(C4:AG4,"G",C27:AG28)</f>
        <v>0</v>
      </c>
      <c r="AP27" s="167">
        <f>AI27+'2026-07'!AP27</f>
        <v>66.5</v>
      </c>
      <c r="AQ27" s="217"/>
    </row>
    <row r="28" spans="1:43" s="1" customFormat="1" ht="15.95" customHeight="1">
      <c r="A28" s="175"/>
      <c r="B28" s="210"/>
      <c r="C28" s="37"/>
      <c r="D28" s="37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>
        <v>-8</v>
      </c>
      <c r="X28" s="9"/>
      <c r="Y28" s="9"/>
      <c r="Z28" s="9"/>
      <c r="AA28" s="9"/>
      <c r="AB28" s="9"/>
      <c r="AC28" s="9">
        <v>-2</v>
      </c>
      <c r="AD28" s="9"/>
      <c r="AE28" s="9"/>
      <c r="AF28" s="9"/>
      <c r="AG28" s="131"/>
      <c r="AH28" s="181"/>
      <c r="AI28" s="164"/>
      <c r="AJ28" s="166"/>
      <c r="AK28" s="166"/>
      <c r="AL28" s="166"/>
      <c r="AM28" s="171" t="str">
        <f>IF(SUM(C27:AG27)-AJ27=0,"√",SUM(C27:AG27)-AJ27)</f>
        <v>√</v>
      </c>
      <c r="AN28" s="172"/>
      <c r="AO28" s="173"/>
      <c r="AP28" s="168"/>
      <c r="AQ28" s="170"/>
    </row>
    <row r="29" spans="1:43" s="1" customFormat="1" ht="15.95" customHeight="1">
      <c r="A29" s="175">
        <v>13</v>
      </c>
      <c r="B29" s="219" t="s">
        <v>56</v>
      </c>
      <c r="C29" s="11"/>
      <c r="D29" s="11"/>
      <c r="E29" s="5"/>
      <c r="F29" s="5"/>
      <c r="G29" s="5"/>
      <c r="H29" s="5"/>
      <c r="I29" s="5"/>
      <c r="J29" s="5"/>
      <c r="K29" s="5"/>
      <c r="L29" s="5"/>
      <c r="M29" s="5"/>
      <c r="N29" s="5"/>
      <c r="O29" s="134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184">
        <v>3</v>
      </c>
      <c r="AB29" s="184">
        <v>3</v>
      </c>
      <c r="AC29" s="184">
        <v>3</v>
      </c>
      <c r="AD29" s="184">
        <v>3</v>
      </c>
      <c r="AE29" s="184">
        <v>11.5</v>
      </c>
      <c r="AF29" s="184">
        <v>11.5</v>
      </c>
      <c r="AG29" s="130"/>
      <c r="AH29" s="181" cm="1">
        <f t="array" ref="AH29" xml:space="preserve"> -SUMPRODUCT((C29:AG29&lt;&gt;"年") * (C29:AG29&lt;&gt;"调") * (C29:AG29&lt;&gt;"病") * (C29:AG29&lt;&gt;"事") * C30:AG30)</f>
        <v>0</v>
      </c>
      <c r="AI29" s="189">
        <f>-(SUMIF(C29:AG29,"=年",C30:AG30))</f>
        <v>0</v>
      </c>
      <c r="AJ29" s="193">
        <f>-(SUMIF(C29:AG29,"=调",C30:AG30))</f>
        <v>0</v>
      </c>
      <c r="AK29" s="193">
        <f>-(SUMIF(C29:AG29,"=病",C30:AG30))</f>
        <v>0</v>
      </c>
      <c r="AL29" s="193">
        <f>-(SUMIF(C29:AG29,"=事",C30:AG30))</f>
        <v>0</v>
      </c>
      <c r="AM29" s="71">
        <f>SUMIF(C4:AG4,"P",C29:AG30)</f>
        <v>12</v>
      </c>
      <c r="AN29" s="46">
        <f>SUMIF(C4:AG4,"S",C29:AG30)-AJ29</f>
        <v>23</v>
      </c>
      <c r="AO29" s="56">
        <f>SUMIF(C4:AG4,"G",C29:AG30)</f>
        <v>0</v>
      </c>
      <c r="AP29" s="168">
        <f>AI29+'2026-07'!AP29</f>
        <v>0</v>
      </c>
      <c r="AQ29" s="122"/>
    </row>
    <row r="30" spans="1:43" s="1" customFormat="1" ht="15.95" customHeight="1" thickBot="1">
      <c r="A30" s="218"/>
      <c r="B30" s="220"/>
      <c r="C30" s="39"/>
      <c r="D30" s="39"/>
      <c r="E30" s="7"/>
      <c r="F30" s="7"/>
      <c r="G30" s="7"/>
      <c r="H30" s="7"/>
      <c r="I30" s="7"/>
      <c r="J30" s="7"/>
      <c r="K30" s="7"/>
      <c r="L30" s="7"/>
      <c r="M30" s="7"/>
      <c r="N30" s="7"/>
      <c r="O30" s="135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221"/>
      <c r="AB30" s="221"/>
      <c r="AC30" s="221"/>
      <c r="AD30" s="221"/>
      <c r="AE30" s="221"/>
      <c r="AF30" s="221"/>
      <c r="AG30" s="136"/>
      <c r="AH30" s="222"/>
      <c r="AI30" s="223"/>
      <c r="AJ30" s="211"/>
      <c r="AK30" s="211"/>
      <c r="AL30" s="211"/>
      <c r="AM30" s="213">
        <f>IF(SUM(C29:AG29)-AJ29=0,"√",SUM(C29:AG29)-AJ29)</f>
        <v>35</v>
      </c>
      <c r="AN30" s="214"/>
      <c r="AO30" s="215"/>
      <c r="AP30" s="212"/>
      <c r="AQ30" s="121"/>
    </row>
    <row r="31" spans="1:43" ht="37.15" customHeight="1">
      <c r="A31" s="216" t="s">
        <v>57</v>
      </c>
      <c r="B31" s="216"/>
      <c r="C31" s="216"/>
      <c r="D31" s="216"/>
      <c r="E31" s="216"/>
      <c r="F31" s="216"/>
      <c r="G31" s="216"/>
      <c r="H31" s="216"/>
      <c r="I31" s="216"/>
      <c r="J31" s="216"/>
      <c r="K31" s="216"/>
      <c r="L31" s="216"/>
      <c r="M31" s="216"/>
      <c r="N31" s="216"/>
      <c r="O31" s="216"/>
      <c r="P31" s="216"/>
      <c r="Q31" s="216"/>
      <c r="R31" s="216"/>
      <c r="S31" s="216"/>
      <c r="T31" s="216"/>
      <c r="U31" s="216"/>
      <c r="V31" s="216"/>
      <c r="W31" s="216"/>
      <c r="X31" s="216"/>
      <c r="Y31" s="216"/>
      <c r="Z31" s="216"/>
      <c r="AA31" s="216"/>
      <c r="AB31" s="216"/>
      <c r="AC31" s="216"/>
      <c r="AD31" s="216"/>
      <c r="AE31" s="216"/>
      <c r="AF31" s="216"/>
      <c r="AG31" s="216"/>
      <c r="AH31" s="216"/>
      <c r="AI31" s="216"/>
      <c r="AJ31" s="216"/>
      <c r="AK31" s="216"/>
      <c r="AL31" s="216"/>
      <c r="AM31" s="216"/>
      <c r="AN31" s="216"/>
      <c r="AO31" s="216"/>
      <c r="AP31" s="216"/>
      <c r="AQ31" s="216"/>
    </row>
    <row r="32" spans="1:43" ht="34.9" customHeight="1">
      <c r="A32" s="207" t="s">
        <v>13</v>
      </c>
      <c r="B32" s="207"/>
      <c r="C32" s="207"/>
      <c r="D32" s="207"/>
      <c r="E32" s="207"/>
      <c r="F32" s="207"/>
      <c r="G32" s="207"/>
      <c r="H32" s="207"/>
      <c r="I32" s="207"/>
      <c r="J32" s="207"/>
      <c r="K32" s="207"/>
      <c r="L32" s="207"/>
      <c r="M32" s="207"/>
      <c r="N32" s="207"/>
      <c r="O32" s="207"/>
      <c r="P32" s="207"/>
      <c r="Q32" s="207"/>
      <c r="R32" s="207"/>
      <c r="S32" s="300" t="s">
        <v>23</v>
      </c>
      <c r="T32" s="300"/>
      <c r="U32" s="300"/>
      <c r="V32" s="300"/>
      <c r="W32" s="300"/>
      <c r="X32" s="300"/>
      <c r="Y32" s="300"/>
      <c r="Z32" s="300"/>
      <c r="AA32" s="300"/>
      <c r="AB32" s="300"/>
      <c r="AC32" s="300"/>
      <c r="AD32" s="300"/>
      <c r="AE32" s="300"/>
      <c r="AF32" s="300"/>
      <c r="AG32" s="300"/>
      <c r="AH32" s="300"/>
      <c r="AI32" s="300"/>
      <c r="AJ32" s="300"/>
      <c r="AK32" s="207" t="s">
        <v>10</v>
      </c>
      <c r="AL32" s="207"/>
      <c r="AM32" s="207"/>
      <c r="AN32" s="207"/>
      <c r="AO32" s="207"/>
      <c r="AP32" s="207"/>
      <c r="AQ32" s="207"/>
    </row>
    <row r="33" spans="1:3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</row>
  </sheetData>
  <mergeCells count="346">
    <mergeCell ref="A32:R32"/>
    <mergeCell ref="S32:AJ32"/>
    <mergeCell ref="A31:AQ31"/>
    <mergeCell ref="AK32:AQ32"/>
    <mergeCell ref="AB29:AB30"/>
    <mergeCell ref="AC29:AC30"/>
    <mergeCell ref="AE29:AE30"/>
    <mergeCell ref="AF29:AF30"/>
    <mergeCell ref="X13:X14"/>
    <mergeCell ref="Q21:Q22"/>
    <mergeCell ref="Q13:Q14"/>
    <mergeCell ref="J13:J14"/>
    <mergeCell ref="K13:K14"/>
    <mergeCell ref="C21:C22"/>
    <mergeCell ref="D13:D14"/>
    <mergeCell ref="AL27:AL28"/>
    <mergeCell ref="AP27:AP28"/>
    <mergeCell ref="AQ27:AQ28"/>
    <mergeCell ref="AM28:AO28"/>
    <mergeCell ref="A29:A30"/>
    <mergeCell ref="B29:B30"/>
    <mergeCell ref="AD29:AD30"/>
    <mergeCell ref="AH29:AH30"/>
    <mergeCell ref="AI29:AI30"/>
    <mergeCell ref="AJ29:AJ30"/>
    <mergeCell ref="AA29:AA30"/>
    <mergeCell ref="AK29:AK30"/>
    <mergeCell ref="AL29:AL30"/>
    <mergeCell ref="AP29:AP30"/>
    <mergeCell ref="AM30:AO30"/>
    <mergeCell ref="AL25:AL26"/>
    <mergeCell ref="AP25:AP26"/>
    <mergeCell ref="AQ25:AQ26"/>
    <mergeCell ref="AM26:AO26"/>
    <mergeCell ref="A27:A28"/>
    <mergeCell ref="B27:B28"/>
    <mergeCell ref="AH27:AH28"/>
    <mergeCell ref="AI27:AI28"/>
    <mergeCell ref="AJ27:AJ28"/>
    <mergeCell ref="AK27:AK28"/>
    <mergeCell ref="AF25:AF26"/>
    <mergeCell ref="AG25:AG26"/>
    <mergeCell ref="AH25:AH26"/>
    <mergeCell ref="AI25:AI26"/>
    <mergeCell ref="AJ25:AJ26"/>
    <mergeCell ref="AK25:AK26"/>
    <mergeCell ref="AA25:AA26"/>
    <mergeCell ref="AB25:AB26"/>
    <mergeCell ref="AC25:AC26"/>
    <mergeCell ref="AD25:AD26"/>
    <mergeCell ref="AE25:AE26"/>
    <mergeCell ref="S25:S26"/>
    <mergeCell ref="T25:T26"/>
    <mergeCell ref="U25:U26"/>
    <mergeCell ref="V25:V26"/>
    <mergeCell ref="X25:X26"/>
    <mergeCell ref="Y25:Y26"/>
    <mergeCell ref="M25:M26"/>
    <mergeCell ref="N25:N26"/>
    <mergeCell ref="O25:O26"/>
    <mergeCell ref="P25:P26"/>
    <mergeCell ref="Q25:Q26"/>
    <mergeCell ref="R25:R26"/>
    <mergeCell ref="G25:G26"/>
    <mergeCell ref="H25:H26"/>
    <mergeCell ref="I25:I26"/>
    <mergeCell ref="J25:J26"/>
    <mergeCell ref="K25:K26"/>
    <mergeCell ref="L25:L26"/>
    <mergeCell ref="A25:A26"/>
    <mergeCell ref="B25:B26"/>
    <mergeCell ref="C25:C26"/>
    <mergeCell ref="D25:D26"/>
    <mergeCell ref="E25:E26"/>
    <mergeCell ref="F25:F26"/>
    <mergeCell ref="AJ23:AJ24"/>
    <mergeCell ref="AK23:AK24"/>
    <mergeCell ref="AL23:AL24"/>
    <mergeCell ref="X23:X24"/>
    <mergeCell ref="Y23:Y24"/>
    <mergeCell ref="Z23:Z24"/>
    <mergeCell ref="AA23:AA24"/>
    <mergeCell ref="AB23:AB24"/>
    <mergeCell ref="AC23:AC24"/>
    <mergeCell ref="R23:R24"/>
    <mergeCell ref="S23:S24"/>
    <mergeCell ref="T23:T24"/>
    <mergeCell ref="L23:L24"/>
    <mergeCell ref="M23:M24"/>
    <mergeCell ref="N23:N24"/>
    <mergeCell ref="O23:O24"/>
    <mergeCell ref="P23:P24"/>
    <mergeCell ref="Q23:Q24"/>
    <mergeCell ref="F23:F24"/>
    <mergeCell ref="I23:I24"/>
    <mergeCell ref="J23:J24"/>
    <mergeCell ref="K23:K24"/>
    <mergeCell ref="AK21:AK22"/>
    <mergeCell ref="AL21:AL22"/>
    <mergeCell ref="AP21:AP22"/>
    <mergeCell ref="AQ21:AQ22"/>
    <mergeCell ref="AM22:AO22"/>
    <mergeCell ref="AI21:AI22"/>
    <mergeCell ref="AJ21:AJ22"/>
    <mergeCell ref="M21:M22"/>
    <mergeCell ref="N21:N22"/>
    <mergeCell ref="AP23:AP24"/>
    <mergeCell ref="AQ23:AQ24"/>
    <mergeCell ref="AM24:AO24"/>
    <mergeCell ref="AD23:AD24"/>
    <mergeCell ref="AE23:AE24"/>
    <mergeCell ref="AF23:AF24"/>
    <mergeCell ref="AG23:AG24"/>
    <mergeCell ref="AH23:AH24"/>
    <mergeCell ref="AI23:AI24"/>
    <mergeCell ref="A23:A24"/>
    <mergeCell ref="B23:B24"/>
    <mergeCell ref="C23:C24"/>
    <mergeCell ref="D23:D24"/>
    <mergeCell ref="E23:E24"/>
    <mergeCell ref="AE21:AE22"/>
    <mergeCell ref="AF21:AF22"/>
    <mergeCell ref="AG21:AG22"/>
    <mergeCell ref="AH21:AH22"/>
    <mergeCell ref="X21:X22"/>
    <mergeCell ref="Y21:Y22"/>
    <mergeCell ref="AA21:AA22"/>
    <mergeCell ref="AB21:AB22"/>
    <mergeCell ref="AC21:AC22"/>
    <mergeCell ref="R21:R22"/>
    <mergeCell ref="S21:S22"/>
    <mergeCell ref="T21:T22"/>
    <mergeCell ref="U21:U22"/>
    <mergeCell ref="V21:V22"/>
    <mergeCell ref="W21:W22"/>
    <mergeCell ref="I21:I22"/>
    <mergeCell ref="J21:J22"/>
    <mergeCell ref="K21:K22"/>
    <mergeCell ref="L21:L22"/>
    <mergeCell ref="A21:A22"/>
    <mergeCell ref="B21:B22"/>
    <mergeCell ref="D21:D22"/>
    <mergeCell ref="F21:F22"/>
    <mergeCell ref="G21:G22"/>
    <mergeCell ref="H21:H22"/>
    <mergeCell ref="AI19:AI20"/>
    <mergeCell ref="AJ19:AJ20"/>
    <mergeCell ref="AK19:AK20"/>
    <mergeCell ref="W19:W20"/>
    <mergeCell ref="X19:X20"/>
    <mergeCell ref="Y19:Y20"/>
    <mergeCell ref="Z19:Z20"/>
    <mergeCell ref="AA19:AA20"/>
    <mergeCell ref="AB19:AB20"/>
    <mergeCell ref="P19:P20"/>
    <mergeCell ref="Q19:Q20"/>
    <mergeCell ref="R19:R20"/>
    <mergeCell ref="S19:S20"/>
    <mergeCell ref="T19:T20"/>
    <mergeCell ref="U19:U20"/>
    <mergeCell ref="H19:H20"/>
    <mergeCell ref="J19:J20"/>
    <mergeCell ref="K19:K20"/>
    <mergeCell ref="M19:M20"/>
    <mergeCell ref="N19:N20"/>
    <mergeCell ref="AP17:AP18"/>
    <mergeCell ref="AQ17:AQ18"/>
    <mergeCell ref="AM18:AO18"/>
    <mergeCell ref="A19:A20"/>
    <mergeCell ref="B19:B20"/>
    <mergeCell ref="C19:C20"/>
    <mergeCell ref="D19:D20"/>
    <mergeCell ref="E19:E20"/>
    <mergeCell ref="F19:F20"/>
    <mergeCell ref="G19:G20"/>
    <mergeCell ref="AL19:AL20"/>
    <mergeCell ref="AP19:AP20"/>
    <mergeCell ref="AQ19:AQ20"/>
    <mergeCell ref="AM20:AO20"/>
    <mergeCell ref="AC19:AC20"/>
    <mergeCell ref="AD19:AD20"/>
    <mergeCell ref="AE19:AE20"/>
    <mergeCell ref="AF19:AF20"/>
    <mergeCell ref="AG19:AG20"/>
    <mergeCell ref="AH19:AH20"/>
    <mergeCell ref="AP15:AP16"/>
    <mergeCell ref="AQ15:AQ16"/>
    <mergeCell ref="AM16:AO16"/>
    <mergeCell ref="A17:A18"/>
    <mergeCell ref="B17:B18"/>
    <mergeCell ref="AH17:AH18"/>
    <mergeCell ref="AI17:AI18"/>
    <mergeCell ref="AJ17:AJ18"/>
    <mergeCell ref="AK17:AK18"/>
    <mergeCell ref="AL17:AL18"/>
    <mergeCell ref="AG15:AG16"/>
    <mergeCell ref="AH15:AH16"/>
    <mergeCell ref="AI15:AI16"/>
    <mergeCell ref="AJ15:AJ16"/>
    <mergeCell ref="AK15:AK16"/>
    <mergeCell ref="AL15:AL16"/>
    <mergeCell ref="AA15:AA16"/>
    <mergeCell ref="AB15:AB16"/>
    <mergeCell ref="AC15:AC16"/>
    <mergeCell ref="AD15:AD16"/>
    <mergeCell ref="AE15:AE16"/>
    <mergeCell ref="AF15:AF16"/>
    <mergeCell ref="U15:U16"/>
    <mergeCell ref="V15:V16"/>
    <mergeCell ref="W15:W16"/>
    <mergeCell ref="X15:X16"/>
    <mergeCell ref="Y15:Y16"/>
    <mergeCell ref="Z15:Z16"/>
    <mergeCell ref="O15:O16"/>
    <mergeCell ref="P15:P16"/>
    <mergeCell ref="Q15:Q16"/>
    <mergeCell ref="R15:R16"/>
    <mergeCell ref="S15:S16"/>
    <mergeCell ref="T15:T16"/>
    <mergeCell ref="I15:I16"/>
    <mergeCell ref="J15:J16"/>
    <mergeCell ref="K15:K16"/>
    <mergeCell ref="L15:L16"/>
    <mergeCell ref="M15:M16"/>
    <mergeCell ref="N15:N16"/>
    <mergeCell ref="AQ13:AQ14"/>
    <mergeCell ref="AM14:AO14"/>
    <mergeCell ref="A15:A16"/>
    <mergeCell ref="B15:B16"/>
    <mergeCell ref="C15:C16"/>
    <mergeCell ref="D15:D16"/>
    <mergeCell ref="E15:E16"/>
    <mergeCell ref="F15:F16"/>
    <mergeCell ref="G15:G16"/>
    <mergeCell ref="H15:H16"/>
    <mergeCell ref="AH13:AH14"/>
    <mergeCell ref="AI13:AI14"/>
    <mergeCell ref="AJ13:AJ14"/>
    <mergeCell ref="AK13:AK14"/>
    <mergeCell ref="AL13:AL14"/>
    <mergeCell ref="AP13:AP14"/>
    <mergeCell ref="V13:V14"/>
    <mergeCell ref="W13:W14"/>
    <mergeCell ref="AA13:AA14"/>
    <mergeCell ref="AD13:AD14"/>
    <mergeCell ref="AG13:AG14"/>
    <mergeCell ref="AE13:AE14"/>
    <mergeCell ref="AF13:AF14"/>
    <mergeCell ref="I13:I14"/>
    <mergeCell ref="N13:N14"/>
    <mergeCell ref="O13:O14"/>
    <mergeCell ref="P13:P14"/>
    <mergeCell ref="U13:U14"/>
    <mergeCell ref="AL11:AL12"/>
    <mergeCell ref="AP11:AP12"/>
    <mergeCell ref="AQ11:AQ12"/>
    <mergeCell ref="AM12:AO12"/>
    <mergeCell ref="A13:A14"/>
    <mergeCell ref="B13:B14"/>
    <mergeCell ref="E13:E14"/>
    <mergeCell ref="F13:F14"/>
    <mergeCell ref="G13:G14"/>
    <mergeCell ref="H13:H14"/>
    <mergeCell ref="AF11:AF12"/>
    <mergeCell ref="AG11:AG12"/>
    <mergeCell ref="AH11:AH12"/>
    <mergeCell ref="AI11:AI12"/>
    <mergeCell ref="AJ11:AJ12"/>
    <mergeCell ref="AK11:AK12"/>
    <mergeCell ref="Z11:Z12"/>
    <mergeCell ref="AA11:AA12"/>
    <mergeCell ref="AB11:AB12"/>
    <mergeCell ref="AC11:AC12"/>
    <mergeCell ref="AD11:AD12"/>
    <mergeCell ref="AE11:AE12"/>
    <mergeCell ref="T11:T12"/>
    <mergeCell ref="U11:U12"/>
    <mergeCell ref="V11:V12"/>
    <mergeCell ref="W11:W12"/>
    <mergeCell ref="X11:X12"/>
    <mergeCell ref="Y11:Y12"/>
    <mergeCell ref="N11:N12"/>
    <mergeCell ref="O11:O12"/>
    <mergeCell ref="P11:P12"/>
    <mergeCell ref="Q11:Q12"/>
    <mergeCell ref="R11:R12"/>
    <mergeCell ref="S11:S12"/>
    <mergeCell ref="H11:H12"/>
    <mergeCell ref="I11:I12"/>
    <mergeCell ref="J11:J12"/>
    <mergeCell ref="K11:K12"/>
    <mergeCell ref="L11:L12"/>
    <mergeCell ref="M11:M12"/>
    <mergeCell ref="A11:A12"/>
    <mergeCell ref="B11:B12"/>
    <mergeCell ref="D11:D12"/>
    <mergeCell ref="E11:E12"/>
    <mergeCell ref="F11:F12"/>
    <mergeCell ref="G11:G12"/>
    <mergeCell ref="C11:C12"/>
    <mergeCell ref="AJ9:AJ10"/>
    <mergeCell ref="AK9:AK10"/>
    <mergeCell ref="AL9:AL10"/>
    <mergeCell ref="AP9:AP10"/>
    <mergeCell ref="AQ9:AQ10"/>
    <mergeCell ref="AM10:AO10"/>
    <mergeCell ref="AK7:AK8"/>
    <mergeCell ref="AL7:AL8"/>
    <mergeCell ref="AP7:AP8"/>
    <mergeCell ref="AQ7:AQ8"/>
    <mergeCell ref="AM8:AO8"/>
    <mergeCell ref="AJ7:AJ8"/>
    <mergeCell ref="A9:A10"/>
    <mergeCell ref="B9:B10"/>
    <mergeCell ref="G9:G10"/>
    <mergeCell ref="AH9:AH10"/>
    <mergeCell ref="AI9:AI10"/>
    <mergeCell ref="A7:A8"/>
    <mergeCell ref="B7:B8"/>
    <mergeCell ref="AG7:AG8"/>
    <mergeCell ref="AH7:AH8"/>
    <mergeCell ref="AI7:AI8"/>
    <mergeCell ref="Q9:Q10"/>
    <mergeCell ref="J9:J10"/>
    <mergeCell ref="AI5:AI6"/>
    <mergeCell ref="AJ5:AJ6"/>
    <mergeCell ref="AK5:AK6"/>
    <mergeCell ref="AL5:AL6"/>
    <mergeCell ref="AP5:AP6"/>
    <mergeCell ref="AQ5:AQ6"/>
    <mergeCell ref="AM6:AO6"/>
    <mergeCell ref="A5:A6"/>
    <mergeCell ref="B5:B6"/>
    <mergeCell ref="U5:U6"/>
    <mergeCell ref="V5:V6"/>
    <mergeCell ref="W5:W6"/>
    <mergeCell ref="AH5:AH6"/>
    <mergeCell ref="A1:AQ1"/>
    <mergeCell ref="A2:A4"/>
    <mergeCell ref="B2:B4"/>
    <mergeCell ref="C2:AG2"/>
    <mergeCell ref="AH2:AO2"/>
    <mergeCell ref="AP2:AP4"/>
    <mergeCell ref="AQ2:AQ4"/>
    <mergeCell ref="AH3:AL3"/>
    <mergeCell ref="AM3:AO3"/>
  </mergeCells>
  <phoneticPr fontId="8" type="noConversion"/>
  <conditionalFormatting sqref="C3:AG28 C29:Z30 AA29:AG29 AD30 AG30">
    <cfRule type="expression" dxfId="23" priority="3">
      <formula>C$4="S"</formula>
    </cfRule>
  </conditionalFormatting>
  <conditionalFormatting sqref="C3:AG28 AA29:AG29 C29:Z30 AD30 AG30">
    <cfRule type="expression" dxfId="22" priority="1">
      <formula>C$4="G"</formula>
    </cfRule>
    <cfRule type="expression" dxfId="21" priority="4">
      <formula>C$4="P"</formula>
    </cfRule>
  </conditionalFormatting>
  <conditionalFormatting sqref="D3:D30">
    <cfRule type="expression" dxfId="20" priority="2">
      <formula>$D$4="G"</formula>
    </cfRule>
  </conditionalFormatting>
  <pageMargins left="0.25138888888888899" right="0.25138888888888899" top="0.55486111111111103" bottom="0.55486111111111103" header="0.29861111111111099" footer="0.29861111111111099"/>
  <pageSetup paperSize="9" scale="66" fitToHeight="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9F740-4A76-4A7A-B97A-938CDD38D729}">
  <sheetPr>
    <pageSetUpPr fitToPage="1"/>
  </sheetPr>
  <dimension ref="A1:AQ33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H7" sqref="AH7:AH8"/>
    </sheetView>
  </sheetViews>
  <sheetFormatPr defaultColWidth="9" defaultRowHeight="14.25"/>
  <cols>
    <col min="1" max="1" width="7" customWidth="1"/>
    <col min="2" max="2" width="9" customWidth="1"/>
    <col min="3" max="32" width="4.5" customWidth="1"/>
    <col min="33" max="33" width="2.25" customWidth="1"/>
    <col min="34" max="38" width="4" customWidth="1"/>
    <col min="39" max="41" width="4.375" bestFit="1" customWidth="1"/>
    <col min="42" max="42" width="6.375" customWidth="1"/>
    <col min="43" max="43" width="12" customWidth="1"/>
  </cols>
  <sheetData>
    <row r="1" spans="1:43" ht="69.75" customHeight="1" thickBot="1">
      <c r="A1" s="142" t="s">
        <v>15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  <c r="AD1" s="142"/>
      <c r="AE1" s="142"/>
      <c r="AF1" s="142"/>
      <c r="AG1" s="142"/>
      <c r="AH1" s="142"/>
      <c r="AI1" s="142"/>
      <c r="AJ1" s="142"/>
      <c r="AK1" s="142"/>
      <c r="AL1" s="142"/>
      <c r="AM1" s="142"/>
      <c r="AN1" s="142"/>
      <c r="AO1" s="142"/>
      <c r="AP1" s="142"/>
      <c r="AQ1" s="142"/>
    </row>
    <row r="2" spans="1:43" ht="40.5" customHeight="1">
      <c r="A2" s="143" t="s">
        <v>0</v>
      </c>
      <c r="B2" s="145" t="s">
        <v>1</v>
      </c>
      <c r="C2" s="147" t="str">
        <f>"2026年9月出勤状况(工作日:"&amp;COUNTIF(C4:AG4, "P")&amp;"天)"</f>
        <v>2026年9月出勤状况(工作日:22天)</v>
      </c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9" t="s">
        <v>39</v>
      </c>
      <c r="AI2" s="150"/>
      <c r="AJ2" s="150"/>
      <c r="AK2" s="150"/>
      <c r="AL2" s="150"/>
      <c r="AM2" s="150"/>
      <c r="AN2" s="150"/>
      <c r="AO2" s="151"/>
      <c r="AP2" s="152" t="s">
        <v>16</v>
      </c>
      <c r="AQ2" s="155" t="s">
        <v>24</v>
      </c>
    </row>
    <row r="3" spans="1:43">
      <c r="A3" s="144"/>
      <c r="B3" s="146"/>
      <c r="C3" s="51">
        <v>1</v>
      </c>
      <c r="D3" s="51">
        <v>2</v>
      </c>
      <c r="E3" s="51">
        <v>3</v>
      </c>
      <c r="F3" s="51">
        <v>4</v>
      </c>
      <c r="G3" s="51">
        <v>5</v>
      </c>
      <c r="H3" s="51">
        <v>6</v>
      </c>
      <c r="I3" s="51">
        <v>7</v>
      </c>
      <c r="J3" s="51">
        <v>8</v>
      </c>
      <c r="K3" s="51">
        <v>9</v>
      </c>
      <c r="L3" s="51">
        <v>10</v>
      </c>
      <c r="M3" s="51">
        <v>11</v>
      </c>
      <c r="N3" s="51">
        <v>12</v>
      </c>
      <c r="O3" s="51">
        <v>13</v>
      </c>
      <c r="P3" s="51">
        <v>14</v>
      </c>
      <c r="Q3" s="51">
        <v>15</v>
      </c>
      <c r="R3" s="51">
        <v>16</v>
      </c>
      <c r="S3" s="51">
        <v>17</v>
      </c>
      <c r="T3" s="51">
        <v>18</v>
      </c>
      <c r="U3" s="51">
        <v>19</v>
      </c>
      <c r="V3" s="51">
        <v>20</v>
      </c>
      <c r="W3" s="51">
        <v>21</v>
      </c>
      <c r="X3" s="51">
        <v>22</v>
      </c>
      <c r="Y3" s="51">
        <v>23</v>
      </c>
      <c r="Z3" s="51">
        <v>24</v>
      </c>
      <c r="AA3" s="51">
        <v>25</v>
      </c>
      <c r="AB3" s="51">
        <v>26</v>
      </c>
      <c r="AC3" s="51">
        <v>27</v>
      </c>
      <c r="AD3" s="51">
        <v>28</v>
      </c>
      <c r="AE3" s="51">
        <v>29</v>
      </c>
      <c r="AF3" s="51">
        <v>30</v>
      </c>
      <c r="AG3" s="51">
        <v>31</v>
      </c>
      <c r="AH3" s="157" t="s">
        <v>43</v>
      </c>
      <c r="AI3" s="158"/>
      <c r="AJ3" s="158"/>
      <c r="AK3" s="158"/>
      <c r="AL3" s="159"/>
      <c r="AM3" s="160" t="s">
        <v>42</v>
      </c>
      <c r="AN3" s="161"/>
      <c r="AO3" s="162"/>
      <c r="AP3" s="153"/>
      <c r="AQ3" s="156"/>
    </row>
    <row r="4" spans="1:43" ht="15" thickBot="1">
      <c r="A4" s="144"/>
      <c r="B4" s="146"/>
      <c r="C4" s="133" t="s">
        <v>29</v>
      </c>
      <c r="D4" s="133" t="s">
        <v>29</v>
      </c>
      <c r="E4" s="133" t="s">
        <v>29</v>
      </c>
      <c r="F4" s="133" t="s">
        <v>29</v>
      </c>
      <c r="G4" s="133" t="s">
        <v>30</v>
      </c>
      <c r="H4" s="133" t="s">
        <v>30</v>
      </c>
      <c r="I4" s="133" t="s">
        <v>29</v>
      </c>
      <c r="J4" s="133" t="s">
        <v>29</v>
      </c>
      <c r="K4" s="133" t="s">
        <v>29</v>
      </c>
      <c r="L4" s="133" t="s">
        <v>29</v>
      </c>
      <c r="M4" s="133" t="s">
        <v>29</v>
      </c>
      <c r="N4" s="133" t="s">
        <v>30</v>
      </c>
      <c r="O4" s="133" t="s">
        <v>30</v>
      </c>
      <c r="P4" s="133" t="s">
        <v>29</v>
      </c>
      <c r="Q4" s="133" t="s">
        <v>29</v>
      </c>
      <c r="R4" s="133" t="s">
        <v>29</v>
      </c>
      <c r="S4" s="133" t="s">
        <v>29</v>
      </c>
      <c r="T4" s="133" t="s">
        <v>29</v>
      </c>
      <c r="U4" s="133" t="s">
        <v>30</v>
      </c>
      <c r="V4" s="133" t="s">
        <v>29</v>
      </c>
      <c r="W4" s="133" t="s">
        <v>29</v>
      </c>
      <c r="X4" s="133" t="s">
        <v>29</v>
      </c>
      <c r="Y4" s="133" t="s">
        <v>29</v>
      </c>
      <c r="Z4" s="133" t="s">
        <v>29</v>
      </c>
      <c r="AA4" s="133" t="s">
        <v>28</v>
      </c>
      <c r="AB4" s="133" t="s">
        <v>30</v>
      </c>
      <c r="AC4" s="133" t="s">
        <v>30</v>
      </c>
      <c r="AD4" s="133" t="s">
        <v>29</v>
      </c>
      <c r="AE4" s="133" t="s">
        <v>29</v>
      </c>
      <c r="AF4" s="133" t="s">
        <v>29</v>
      </c>
      <c r="AG4" s="133" t="s">
        <v>25</v>
      </c>
      <c r="AH4" s="141" t="s">
        <v>62</v>
      </c>
      <c r="AI4" s="138" t="s">
        <v>21</v>
      </c>
      <c r="AJ4" s="139" t="s">
        <v>22</v>
      </c>
      <c r="AK4" s="139" t="s">
        <v>60</v>
      </c>
      <c r="AL4" s="140" t="s">
        <v>63</v>
      </c>
      <c r="AM4" s="138" t="s">
        <v>64</v>
      </c>
      <c r="AN4" s="139" t="s">
        <v>65</v>
      </c>
      <c r="AO4" s="140" t="s">
        <v>66</v>
      </c>
      <c r="AP4" s="154"/>
      <c r="AQ4" s="156"/>
    </row>
    <row r="5" spans="1:43" s="1" customFormat="1" ht="15.95" customHeight="1">
      <c r="A5" s="174">
        <v>1</v>
      </c>
      <c r="B5" s="176" t="s">
        <v>2</v>
      </c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178"/>
      <c r="V5" s="178"/>
      <c r="W5" s="178"/>
      <c r="X5" s="64"/>
      <c r="Y5" s="64"/>
      <c r="Z5" s="64"/>
      <c r="AA5" s="64"/>
      <c r="AB5" s="64"/>
      <c r="AC5" s="64"/>
      <c r="AD5" s="64"/>
      <c r="AE5" s="64"/>
      <c r="AF5" s="64"/>
      <c r="AG5" s="128"/>
      <c r="AH5" s="180" cm="1">
        <f t="array" ref="AH5" xml:space="preserve"> -SUMPRODUCT((C5:AG5&lt;&gt;"年") * (C5:AG5&lt;&gt;"调") * (C5:AG5&lt;&gt;"病") * (C5:AG5&lt;&gt;"事") * C6:AG6)</f>
        <v>0</v>
      </c>
      <c r="AI5" s="163">
        <f>-(SUMIF(C5:AG5,"=年",C6:AG6))</f>
        <v>0</v>
      </c>
      <c r="AJ5" s="165">
        <f>-(SUMIF(C5:AG5,"=调",C6:AG6))</f>
        <v>0</v>
      </c>
      <c r="AK5" s="165">
        <f>-(SUMIF(C5:AG5,"=病",C6:AG6))</f>
        <v>0</v>
      </c>
      <c r="AL5" s="165">
        <f>-(SUMIF(C5:AG5,"=事",C6:AG6))</f>
        <v>0</v>
      </c>
      <c r="AM5" s="70">
        <f>SUMIF(C4:AG4,"P",C5:AG6)</f>
        <v>0</v>
      </c>
      <c r="AN5" s="67">
        <f>SUMIF(C4:AG4,"S",C5:AG6)</f>
        <v>0</v>
      </c>
      <c r="AO5" s="77">
        <f>SUMIF(C4:AG4,"G",C5:AG6)</f>
        <v>0</v>
      </c>
      <c r="AP5" s="167">
        <f>AI5+'2026-08'!AP5</f>
        <v>33.5</v>
      </c>
      <c r="AQ5" s="169"/>
    </row>
    <row r="6" spans="1:43" s="1" customFormat="1" ht="15.95" customHeight="1">
      <c r="A6" s="175"/>
      <c r="B6" s="177"/>
      <c r="C6" s="16"/>
      <c r="D6" s="16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179"/>
      <c r="V6" s="179"/>
      <c r="W6" s="179"/>
      <c r="X6" s="8"/>
      <c r="Y6" s="8"/>
      <c r="Z6" s="8"/>
      <c r="AA6" s="8"/>
      <c r="AB6" s="8"/>
      <c r="AC6" s="8"/>
      <c r="AD6" s="8"/>
      <c r="AE6" s="8"/>
      <c r="AF6" s="8"/>
      <c r="AG6" s="129"/>
      <c r="AH6" s="181"/>
      <c r="AI6" s="164"/>
      <c r="AJ6" s="166"/>
      <c r="AK6" s="166"/>
      <c r="AL6" s="166"/>
      <c r="AM6" s="171" t="str">
        <f>IF(SUM(C5:AG5)-AJ5=0,"√",SUM(C5:AG5)-AJ5)</f>
        <v>√</v>
      </c>
      <c r="AN6" s="172"/>
      <c r="AO6" s="173"/>
      <c r="AP6" s="168"/>
      <c r="AQ6" s="170"/>
    </row>
    <row r="7" spans="1:43" s="1" customFormat="1" ht="15.95" customHeight="1">
      <c r="A7" s="185">
        <v>2</v>
      </c>
      <c r="B7" s="186" t="s">
        <v>3</v>
      </c>
      <c r="C7" s="14"/>
      <c r="D7" s="14"/>
      <c r="E7" s="12"/>
      <c r="F7" s="12"/>
      <c r="G7" s="12"/>
      <c r="H7" s="12"/>
      <c r="I7" s="12"/>
      <c r="J7" s="14"/>
      <c r="K7" s="14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4"/>
      <c r="AF7" s="12"/>
      <c r="AG7" s="187"/>
      <c r="AH7" s="181" cm="1">
        <f t="array" ref="AH7" xml:space="preserve"> -SUMPRODUCT((C7:AG7&lt;&gt;"年") * (C7:AG7&lt;&gt;"调") * (C7:AG7&lt;&gt;"病") * (C7:AG7&lt;&gt;"事") * C8:AG8)</f>
        <v>0</v>
      </c>
      <c r="AI7" s="189">
        <f>-(SUMIF(C7:AG7,"=年",C8:AG8))</f>
        <v>0</v>
      </c>
      <c r="AJ7" s="193">
        <f>-(SUMIF(C7:AG7,"=调",C8:AG8))</f>
        <v>0</v>
      </c>
      <c r="AK7" s="193">
        <f>-(SUMIF(C7:AG7,"=病",C8:AG8))</f>
        <v>0</v>
      </c>
      <c r="AL7" s="193">
        <f>-(SUMIF(C7:AG7,"=事",C8:AG8))</f>
        <v>0</v>
      </c>
      <c r="AM7" s="71">
        <f>SUMIF(C4:AG4,"P",C7:AG8)</f>
        <v>0</v>
      </c>
      <c r="AN7" s="57">
        <f>SUMIF(C4:AG4,"S",C7:AG8)</f>
        <v>0</v>
      </c>
      <c r="AO7" s="78">
        <f>SUMIF(C4:AG4,"G",C7:AG8)</f>
        <v>0</v>
      </c>
      <c r="AP7" s="167">
        <f>AI7+'2026-08'!AP7</f>
        <v>68</v>
      </c>
      <c r="AQ7" s="195"/>
    </row>
    <row r="8" spans="1:43" s="1" customFormat="1" ht="15.95" customHeight="1">
      <c r="A8" s="185"/>
      <c r="B8" s="186"/>
      <c r="C8" s="38"/>
      <c r="D8" s="38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88"/>
      <c r="AH8" s="181"/>
      <c r="AI8" s="180"/>
      <c r="AJ8" s="194"/>
      <c r="AK8" s="194"/>
      <c r="AL8" s="194"/>
      <c r="AM8" s="190" t="str">
        <f>IF(SUM(C7:AG7)-AJ7=0,"√",SUM(C7:AG7)-AJ7)</f>
        <v>√</v>
      </c>
      <c r="AN8" s="191"/>
      <c r="AO8" s="192"/>
      <c r="AP8" s="168"/>
      <c r="AQ8" s="196"/>
    </row>
    <row r="9" spans="1:43" s="1" customFormat="1" ht="15.95" customHeight="1">
      <c r="A9" s="182">
        <v>3</v>
      </c>
      <c r="B9" s="183" t="s">
        <v>4</v>
      </c>
      <c r="C9" s="37"/>
      <c r="D9" s="37"/>
      <c r="E9" s="9"/>
      <c r="F9" s="9" t="s">
        <v>67</v>
      </c>
      <c r="G9" s="184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37"/>
      <c r="AF9" s="37"/>
      <c r="AG9" s="131"/>
      <c r="AH9" s="181" cm="1">
        <f t="array" ref="AH9" xml:space="preserve"> -SUMPRODUCT((C9:AG9&lt;&gt;"年") * (C9:AG9&lt;&gt;"调") * (C9:AG9&lt;&gt;"病") * (C9:AG9&lt;&gt;"事") * C10:AG10)</f>
        <v>0</v>
      </c>
      <c r="AI9" s="164">
        <f>-(SUMIF(C9:AG9,"=年",C10:AG10))</f>
        <v>3</v>
      </c>
      <c r="AJ9" s="166">
        <f>-(SUMIF(C9:AG9,"=调",C10:AG10))</f>
        <v>0</v>
      </c>
      <c r="AK9" s="166">
        <f>-(SUMIF(C9:AG9,"=病",C10:AG10))</f>
        <v>0</v>
      </c>
      <c r="AL9" s="166">
        <f>-(SUMIF(C9:AG9,"=事",C10:AG10))</f>
        <v>0</v>
      </c>
      <c r="AM9" s="72">
        <f>SUMIF(C4:AG4,"P",C9:AG10)</f>
        <v>0</v>
      </c>
      <c r="AN9" s="68">
        <f>SUMIF(C4:AG4,"S",C9:AG10)</f>
        <v>0</v>
      </c>
      <c r="AO9" s="79">
        <f>SUMIF(C4:AG4,"G",C9:AG10)</f>
        <v>0</v>
      </c>
      <c r="AP9" s="167">
        <f>AI9+'2026-08'!AP9</f>
        <v>37</v>
      </c>
      <c r="AQ9" s="170"/>
    </row>
    <row r="10" spans="1:43" s="1" customFormat="1" ht="15.95" customHeight="1">
      <c r="A10" s="175"/>
      <c r="B10" s="177"/>
      <c r="C10" s="37"/>
      <c r="D10" s="37"/>
      <c r="E10" s="9"/>
      <c r="F10" s="9">
        <v>-3</v>
      </c>
      <c r="G10" s="179"/>
      <c r="H10" s="9"/>
      <c r="I10" s="9"/>
      <c r="J10" s="9"/>
      <c r="K10" s="9"/>
      <c r="L10" s="9"/>
      <c r="M10" s="9"/>
      <c r="N10" s="9"/>
      <c r="O10" s="6"/>
      <c r="P10" s="10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131"/>
      <c r="AH10" s="181"/>
      <c r="AI10" s="164"/>
      <c r="AJ10" s="166"/>
      <c r="AK10" s="166"/>
      <c r="AL10" s="166"/>
      <c r="AM10" s="190" t="str">
        <f>IF(SUM(C9:AG9)-AJ9=0,"√",SUM(C9:AG9)-AJ9)</f>
        <v>√</v>
      </c>
      <c r="AN10" s="191"/>
      <c r="AO10" s="192"/>
      <c r="AP10" s="168"/>
      <c r="AQ10" s="170"/>
    </row>
    <row r="11" spans="1:43" s="1" customFormat="1" ht="15.95" customHeight="1">
      <c r="A11" s="185">
        <v>4</v>
      </c>
      <c r="B11" s="186" t="s">
        <v>5</v>
      </c>
      <c r="C11" s="11"/>
      <c r="D11" s="197"/>
      <c r="E11" s="197"/>
      <c r="F11" s="197"/>
      <c r="G11" s="197">
        <v>8.5</v>
      </c>
      <c r="H11" s="197">
        <v>8.5</v>
      </c>
      <c r="I11" s="197"/>
      <c r="J11" s="197"/>
      <c r="K11" s="11" t="s">
        <v>67</v>
      </c>
      <c r="L11" s="197"/>
      <c r="M11" s="197"/>
      <c r="N11" s="197"/>
      <c r="O11" s="199"/>
      <c r="P11" s="199"/>
      <c r="Q11" s="197"/>
      <c r="R11" s="197"/>
      <c r="S11" s="197"/>
      <c r="T11" s="197"/>
      <c r="U11" s="197"/>
      <c r="V11" s="197"/>
      <c r="W11" s="197"/>
      <c r="X11" s="197"/>
      <c r="Y11" s="197"/>
      <c r="Z11" s="197"/>
      <c r="AA11" s="197"/>
      <c r="AB11" s="197"/>
      <c r="AC11" s="197"/>
      <c r="AD11" s="197"/>
      <c r="AE11" s="197"/>
      <c r="AF11" s="197"/>
      <c r="AG11" s="187"/>
      <c r="AH11" s="181" cm="1">
        <f t="array" ref="AH11" xml:space="preserve"> -SUMPRODUCT((C11:AG11&lt;&gt;"年") * (C11:AG11&lt;&gt;"调") * (C11:AG11&lt;&gt;"病") * (C11:AG11&lt;&gt;"事") * C12:AG12)</f>
        <v>0</v>
      </c>
      <c r="AI11" s="189">
        <f>-(SUMIF(C11:AG11,"=年",C12:AG12))</f>
        <v>2</v>
      </c>
      <c r="AJ11" s="193">
        <f>-(SUMIF(C11:AG11,"=调",C12:AG12))</f>
        <v>0</v>
      </c>
      <c r="AK11" s="193">
        <f>-(SUMIF(C11:AG11,"=病",C12:AG12))</f>
        <v>0</v>
      </c>
      <c r="AL11" s="193">
        <f>-(SUMIF(C11:AG11,"=事",C12:AG12))</f>
        <v>0</v>
      </c>
      <c r="AM11" s="71">
        <f>SUMIF(C4:AG4,"P",C11:AG12)</f>
        <v>0</v>
      </c>
      <c r="AN11" s="46">
        <f>SUMIF(C4:AG4,"S",C11:AG12)</f>
        <v>17</v>
      </c>
      <c r="AO11" s="78">
        <f>SUMIF(C4:AG4,"G",C11:AG12)</f>
        <v>0</v>
      </c>
      <c r="AP11" s="167">
        <f>AI11+'2026-08'!AP11</f>
        <v>6</v>
      </c>
      <c r="AQ11" s="195"/>
    </row>
    <row r="12" spans="1:43" s="1" customFormat="1" ht="15.95" customHeight="1">
      <c r="A12" s="185"/>
      <c r="B12" s="186"/>
      <c r="C12" s="15"/>
      <c r="D12" s="198"/>
      <c r="E12" s="198"/>
      <c r="F12" s="198"/>
      <c r="G12" s="198"/>
      <c r="H12" s="198"/>
      <c r="I12" s="198"/>
      <c r="J12" s="198"/>
      <c r="K12" s="15">
        <v>-2</v>
      </c>
      <c r="L12" s="198"/>
      <c r="M12" s="198"/>
      <c r="N12" s="198"/>
      <c r="O12" s="179"/>
      <c r="P12" s="179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88"/>
      <c r="AH12" s="181"/>
      <c r="AI12" s="180"/>
      <c r="AJ12" s="194"/>
      <c r="AK12" s="194"/>
      <c r="AL12" s="194"/>
      <c r="AM12" s="190">
        <f>IF(SUM(C11:AG11)-AJ11=0,"√",SUM(C11:AG11)-AJ11)</f>
        <v>17</v>
      </c>
      <c r="AN12" s="191"/>
      <c r="AO12" s="200"/>
      <c r="AP12" s="168"/>
      <c r="AQ12" s="196"/>
    </row>
    <row r="13" spans="1:43" s="1" customFormat="1" ht="15.95" customHeight="1">
      <c r="A13" s="182">
        <v>5</v>
      </c>
      <c r="B13" s="183" t="s">
        <v>6</v>
      </c>
      <c r="C13" s="11"/>
      <c r="D13" s="11"/>
      <c r="E13" s="197"/>
      <c r="F13" s="197"/>
      <c r="G13" s="197">
        <v>8.5</v>
      </c>
      <c r="H13" s="197">
        <v>8.5</v>
      </c>
      <c r="I13" s="197"/>
      <c r="J13" s="11"/>
      <c r="K13" s="11"/>
      <c r="L13" s="11"/>
      <c r="M13" s="197"/>
      <c r="N13" s="197"/>
      <c r="O13" s="199"/>
      <c r="P13" s="199"/>
      <c r="Q13" s="11"/>
      <c r="R13" s="11"/>
      <c r="S13" s="11"/>
      <c r="T13" s="11"/>
      <c r="U13" s="199"/>
      <c r="V13" s="199"/>
      <c r="W13" s="199"/>
      <c r="X13" s="11"/>
      <c r="Y13" s="11"/>
      <c r="Z13" s="11"/>
      <c r="AA13" s="197"/>
      <c r="AB13" s="197"/>
      <c r="AC13" s="18"/>
      <c r="AD13" s="197"/>
      <c r="AE13" s="11"/>
      <c r="AF13" s="11"/>
      <c r="AG13" s="187"/>
      <c r="AH13" s="181" cm="1">
        <f t="array" ref="AH13" xml:space="preserve"> -SUMPRODUCT((C13:AG13&lt;&gt;"年") * (C13:AG13&lt;&gt;"调") * (C13:AG13&lt;&gt;"病") * (C13:AG13&lt;&gt;"事") * C14:AG14)</f>
        <v>0</v>
      </c>
      <c r="AI13" s="164">
        <f>-(SUMIF(C13:AG13,"=年",C14:AG14))</f>
        <v>0</v>
      </c>
      <c r="AJ13" s="166">
        <f>-(SUMIF(C13:AG13,"=调",C14:AG14))</f>
        <v>0</v>
      </c>
      <c r="AK13" s="166">
        <f>-(SUMIF(C13:AG13,"=病",C14:AG14))</f>
        <v>0</v>
      </c>
      <c r="AL13" s="166">
        <f>-(SUMIF(C13:AG13,"=事",C14:AG14))</f>
        <v>0</v>
      </c>
      <c r="AM13" s="72">
        <f>SUMIF(C4:AG4,"P",C13:AG14)</f>
        <v>0</v>
      </c>
      <c r="AN13" s="68">
        <f>SUMIF(C4:AG4,"S",C13:AG14)</f>
        <v>17</v>
      </c>
      <c r="AO13" s="79">
        <f>SUMIF(C4:AG4,"G",C13:AG14)</f>
        <v>0</v>
      </c>
      <c r="AP13" s="167">
        <f>AI13+'2026-08'!AP13</f>
        <v>21.5</v>
      </c>
      <c r="AQ13" s="201"/>
    </row>
    <row r="14" spans="1:43" s="1" customFormat="1" ht="15.95" customHeight="1">
      <c r="A14" s="175"/>
      <c r="B14" s="177"/>
      <c r="C14" s="15"/>
      <c r="D14" s="15"/>
      <c r="E14" s="198"/>
      <c r="F14" s="198"/>
      <c r="G14" s="198"/>
      <c r="H14" s="198"/>
      <c r="I14" s="198"/>
      <c r="J14" s="15"/>
      <c r="K14" s="15"/>
      <c r="L14" s="15"/>
      <c r="M14" s="198"/>
      <c r="N14" s="198"/>
      <c r="O14" s="179"/>
      <c r="P14" s="179"/>
      <c r="Q14" s="15"/>
      <c r="R14" s="15"/>
      <c r="S14" s="15"/>
      <c r="T14" s="15"/>
      <c r="U14" s="179"/>
      <c r="V14" s="179"/>
      <c r="W14" s="179"/>
      <c r="X14" s="15"/>
      <c r="Y14" s="15"/>
      <c r="Z14" s="15"/>
      <c r="AA14" s="198"/>
      <c r="AB14" s="198"/>
      <c r="AC14" s="50"/>
      <c r="AD14" s="198"/>
      <c r="AE14" s="15"/>
      <c r="AF14" s="15"/>
      <c r="AG14" s="188"/>
      <c r="AH14" s="181"/>
      <c r="AI14" s="164"/>
      <c r="AJ14" s="166"/>
      <c r="AK14" s="166"/>
      <c r="AL14" s="166"/>
      <c r="AM14" s="171">
        <f>IF(SUM(C13:AG13)-AJ13=0,"√",SUM(C13:AG13)-AJ13)</f>
        <v>17</v>
      </c>
      <c r="AN14" s="172"/>
      <c r="AO14" s="173"/>
      <c r="AP14" s="168"/>
      <c r="AQ14" s="201"/>
    </row>
    <row r="15" spans="1:43" s="1" customFormat="1" ht="15.95" customHeight="1">
      <c r="A15" s="185">
        <v>6</v>
      </c>
      <c r="B15" s="186" t="s">
        <v>7</v>
      </c>
      <c r="C15" s="197"/>
      <c r="D15" s="197"/>
      <c r="E15" s="197"/>
      <c r="F15" s="197">
        <v>3</v>
      </c>
      <c r="G15" s="197">
        <v>11.5</v>
      </c>
      <c r="H15" s="197">
        <v>11.5</v>
      </c>
      <c r="I15" s="197"/>
      <c r="J15" s="197"/>
      <c r="K15" s="197"/>
      <c r="L15" s="197"/>
      <c r="M15" s="197"/>
      <c r="N15" s="197"/>
      <c r="O15" s="199"/>
      <c r="P15" s="199"/>
      <c r="Q15" s="197"/>
      <c r="R15" s="197"/>
      <c r="S15" s="197"/>
      <c r="T15" s="197"/>
      <c r="U15" s="197"/>
      <c r="V15" s="204"/>
      <c r="W15" s="197"/>
      <c r="X15" s="197"/>
      <c r="Y15" s="197"/>
      <c r="Z15" s="197"/>
      <c r="AA15" s="197"/>
      <c r="AB15" s="197"/>
      <c r="AC15" s="197"/>
      <c r="AD15" s="197"/>
      <c r="AE15" s="197"/>
      <c r="AF15" s="197"/>
      <c r="AG15" s="187"/>
      <c r="AH15" s="181" cm="1">
        <f t="array" ref="AH15" xml:space="preserve"> -SUMPRODUCT((C15:AG15&lt;&gt;"年") * (C15:AG15&lt;&gt;"调") * (C15:AG15&lt;&gt;"病") * (C15:AG15&lt;&gt;"事") * C16:AG16)</f>
        <v>0</v>
      </c>
      <c r="AI15" s="189">
        <f>-(SUMIF(C15:AG15,"=年",C16:AG16))</f>
        <v>0</v>
      </c>
      <c r="AJ15" s="193">
        <f>-(SUMIF(C15:AG15,"=调",C16:AG16))</f>
        <v>0</v>
      </c>
      <c r="AK15" s="193">
        <f>-(SUMIF(C15:AG15,"=病",C16:AG16))</f>
        <v>0</v>
      </c>
      <c r="AL15" s="193">
        <f>-(SUMIF(C15:AG15,"=事",C16:AG16))</f>
        <v>0</v>
      </c>
      <c r="AM15" s="71">
        <f>SUMIF(C4:AG4,"P",C15:AG16)</f>
        <v>3</v>
      </c>
      <c r="AN15" s="46">
        <f>SUMIF(C4:AG4,"S",C15:AG16)</f>
        <v>23</v>
      </c>
      <c r="AO15" s="78">
        <f>SUMIF(C4:AG4,"G",C15:AG16)</f>
        <v>0</v>
      </c>
      <c r="AP15" s="167">
        <f>AI15+'2026-08'!AP15</f>
        <v>15</v>
      </c>
      <c r="AQ15" s="202"/>
    </row>
    <row r="16" spans="1:43" s="1" customFormat="1" ht="15.95" customHeight="1">
      <c r="A16" s="185"/>
      <c r="B16" s="186"/>
      <c r="C16" s="198"/>
      <c r="D16" s="198"/>
      <c r="E16" s="198"/>
      <c r="F16" s="198"/>
      <c r="G16" s="198"/>
      <c r="H16" s="198"/>
      <c r="I16" s="198"/>
      <c r="J16" s="198"/>
      <c r="K16" s="198"/>
      <c r="L16" s="198"/>
      <c r="M16" s="198"/>
      <c r="N16" s="198"/>
      <c r="O16" s="179"/>
      <c r="P16" s="179"/>
      <c r="Q16" s="198"/>
      <c r="R16" s="198"/>
      <c r="S16" s="198"/>
      <c r="T16" s="198"/>
      <c r="U16" s="198"/>
      <c r="V16" s="179"/>
      <c r="W16" s="198"/>
      <c r="X16" s="198"/>
      <c r="Y16" s="198"/>
      <c r="Z16" s="198"/>
      <c r="AA16" s="198"/>
      <c r="AB16" s="198"/>
      <c r="AC16" s="198"/>
      <c r="AD16" s="198"/>
      <c r="AE16" s="198"/>
      <c r="AF16" s="198"/>
      <c r="AG16" s="188"/>
      <c r="AH16" s="181"/>
      <c r="AI16" s="180"/>
      <c r="AJ16" s="194"/>
      <c r="AK16" s="194"/>
      <c r="AL16" s="194"/>
      <c r="AM16" s="190">
        <f>IF(SUM(C15:AG15)-AJ15=0,"√",SUM(C15:AG15)-AJ15)</f>
        <v>26</v>
      </c>
      <c r="AN16" s="191"/>
      <c r="AO16" s="200"/>
      <c r="AP16" s="168"/>
      <c r="AQ16" s="203"/>
    </row>
    <row r="17" spans="1:43" s="1" customFormat="1" ht="15.95" customHeight="1">
      <c r="A17" s="182">
        <v>7</v>
      </c>
      <c r="B17" s="183" t="s">
        <v>8</v>
      </c>
      <c r="C17" s="37"/>
      <c r="D17" s="37"/>
      <c r="E17" s="9"/>
      <c r="F17" s="9"/>
      <c r="G17" s="37"/>
      <c r="H17" s="9"/>
      <c r="I17" s="9"/>
      <c r="J17" s="9"/>
      <c r="K17" s="9"/>
      <c r="L17" s="9"/>
      <c r="M17" s="9"/>
      <c r="N17" s="9"/>
      <c r="O17" s="8"/>
      <c r="P17" s="9"/>
      <c r="Q17" s="9"/>
      <c r="R17" s="37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131"/>
      <c r="AH17" s="181" cm="1">
        <f t="array" ref="AH17" xml:space="preserve"> -SUMPRODUCT((C17:AG17&lt;&gt;"年") * (C17:AG17&lt;&gt;"调") * (C17:AG17&lt;&gt;"病") * (C17:AG17&lt;&gt;"事") * C18:AG18)</f>
        <v>0</v>
      </c>
      <c r="AI17" s="164">
        <f>-(SUMIF(C17:AG17,"=年",C18:AG18))</f>
        <v>0</v>
      </c>
      <c r="AJ17" s="166">
        <f>-(SUMIF(C17:AG17,"=调",C18:AG18))</f>
        <v>0</v>
      </c>
      <c r="AK17" s="166">
        <f>-(SUMIF(C17:AG17,"=病",C18:AG18))</f>
        <v>0</v>
      </c>
      <c r="AL17" s="166">
        <f>-(SUMIF(C17:AG17,"=事",C18:AG18))</f>
        <v>0</v>
      </c>
      <c r="AM17" s="72">
        <f>SUMIF(C4:AG4,"P",C17:AG18)</f>
        <v>0</v>
      </c>
      <c r="AN17" s="68">
        <f>SUMIF(C4:AG4,"S",C17:AG18)</f>
        <v>0</v>
      </c>
      <c r="AO17" s="79">
        <f>SUMIF(C4:AG4,"G",C17:AG18)</f>
        <v>0</v>
      </c>
      <c r="AP17" s="167">
        <f>AI17+'2026-08'!AP17</f>
        <v>33</v>
      </c>
      <c r="AQ17" s="170"/>
    </row>
    <row r="18" spans="1:43" s="1" customFormat="1" ht="15.95" customHeight="1">
      <c r="A18" s="175"/>
      <c r="B18" s="177"/>
      <c r="C18" s="37"/>
      <c r="D18" s="37"/>
      <c r="E18" s="9"/>
      <c r="F18" s="9"/>
      <c r="G18" s="9"/>
      <c r="H18" s="9"/>
      <c r="I18" s="9"/>
      <c r="J18" s="9"/>
      <c r="K18" s="9"/>
      <c r="L18" s="9"/>
      <c r="M18" s="9"/>
      <c r="N18" s="9"/>
      <c r="O18" s="6"/>
      <c r="P18" s="10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131"/>
      <c r="AH18" s="181"/>
      <c r="AI18" s="164"/>
      <c r="AJ18" s="166"/>
      <c r="AK18" s="166"/>
      <c r="AL18" s="166"/>
      <c r="AM18" s="171" t="str">
        <f>IF(SUM(C17:AG17)-AJ17=0,"√",SUM(C17:AG17)-AJ17)</f>
        <v>√</v>
      </c>
      <c r="AN18" s="172"/>
      <c r="AO18" s="173"/>
      <c r="AP18" s="168"/>
      <c r="AQ18" s="170"/>
    </row>
    <row r="19" spans="1:43" s="1" customFormat="1" ht="15.95" customHeight="1">
      <c r="A19" s="185">
        <v>8</v>
      </c>
      <c r="B19" s="186" t="s">
        <v>9</v>
      </c>
      <c r="C19" s="197"/>
      <c r="D19" s="197"/>
      <c r="E19" s="197"/>
      <c r="F19" s="197"/>
      <c r="G19" s="197">
        <v>8.5</v>
      </c>
      <c r="H19" s="197">
        <v>8.5</v>
      </c>
      <c r="I19" s="18"/>
      <c r="J19" s="11" t="s">
        <v>67</v>
      </c>
      <c r="K19" s="197"/>
      <c r="L19" s="11"/>
      <c r="M19" s="197"/>
      <c r="N19" s="197"/>
      <c r="O19" s="199"/>
      <c r="P19" s="199"/>
      <c r="Q19" s="197"/>
      <c r="R19" s="197"/>
      <c r="S19" s="197"/>
      <c r="T19" s="197"/>
      <c r="U19" s="197"/>
      <c r="V19" s="18"/>
      <c r="W19" s="197"/>
      <c r="X19" s="197"/>
      <c r="Y19" s="197"/>
      <c r="Z19" s="197"/>
      <c r="AA19" s="197"/>
      <c r="AB19" s="197"/>
      <c r="AC19" s="197"/>
      <c r="AD19" s="197"/>
      <c r="AE19" s="197"/>
      <c r="AF19" s="197"/>
      <c r="AG19" s="187"/>
      <c r="AH19" s="181" cm="1">
        <f t="array" ref="AH19" xml:space="preserve"> -SUMPRODUCT((C19:AG19&lt;&gt;"年") * (C19:AG19&lt;&gt;"调") * (C19:AG19&lt;&gt;"病") * (C19:AG19&lt;&gt;"事") * C20:AG20)</f>
        <v>0</v>
      </c>
      <c r="AI19" s="189">
        <f>-(SUMIF(C19:AG19,"=年",C20:AG20))</f>
        <v>8</v>
      </c>
      <c r="AJ19" s="193">
        <f>-(SUMIF(C19:AG19,"=调",C20:AG20))</f>
        <v>0</v>
      </c>
      <c r="AK19" s="193">
        <f>-(SUMIF(C19:AG19,"=病",C20:AG20))</f>
        <v>0</v>
      </c>
      <c r="AL19" s="193">
        <f>-(SUMIF(C19:AG19,"=事",C20:AG20))</f>
        <v>0</v>
      </c>
      <c r="AM19" s="71">
        <f>SUMIF(C4:AG4,"P",C19:AG20)</f>
        <v>0</v>
      </c>
      <c r="AN19" s="46">
        <f>SUMIF(C4:AG4,"S",C19:AG20)</f>
        <v>17</v>
      </c>
      <c r="AO19" s="78">
        <f>SUMIF(C4:AG4,"G",C19:AG20)</f>
        <v>0</v>
      </c>
      <c r="AP19" s="167">
        <f>AI19+'2026-08'!AP19</f>
        <v>42.5</v>
      </c>
      <c r="AQ19" s="205"/>
    </row>
    <row r="20" spans="1:43" s="1" customFormat="1" ht="15.95" customHeight="1">
      <c r="A20" s="185"/>
      <c r="B20" s="186"/>
      <c r="C20" s="198"/>
      <c r="D20" s="198"/>
      <c r="E20" s="198"/>
      <c r="F20" s="198"/>
      <c r="G20" s="198"/>
      <c r="H20" s="198"/>
      <c r="I20" s="50"/>
      <c r="J20" s="15">
        <v>-8</v>
      </c>
      <c r="K20" s="198"/>
      <c r="L20" s="15"/>
      <c r="M20" s="198"/>
      <c r="N20" s="198"/>
      <c r="O20" s="179"/>
      <c r="P20" s="179"/>
      <c r="Q20" s="198"/>
      <c r="R20" s="198"/>
      <c r="S20" s="198"/>
      <c r="T20" s="198"/>
      <c r="U20" s="198"/>
      <c r="V20" s="50"/>
      <c r="W20" s="198"/>
      <c r="X20" s="198"/>
      <c r="Y20" s="198"/>
      <c r="Z20" s="198"/>
      <c r="AA20" s="198"/>
      <c r="AB20" s="198"/>
      <c r="AC20" s="198"/>
      <c r="AD20" s="198"/>
      <c r="AE20" s="198"/>
      <c r="AF20" s="198"/>
      <c r="AG20" s="188"/>
      <c r="AH20" s="181"/>
      <c r="AI20" s="180"/>
      <c r="AJ20" s="194"/>
      <c r="AK20" s="194"/>
      <c r="AL20" s="194"/>
      <c r="AM20" s="190">
        <f>IF(SUM(C19:AG19)-AJ19=0,"√",SUM(C19:AG19)-AJ19)</f>
        <v>17</v>
      </c>
      <c r="AN20" s="191"/>
      <c r="AO20" s="200"/>
      <c r="AP20" s="168"/>
      <c r="AQ20" s="206"/>
    </row>
    <row r="21" spans="1:43" s="1" customFormat="1" ht="15.95" customHeight="1">
      <c r="A21" s="182">
        <v>9</v>
      </c>
      <c r="B21" s="183" t="s">
        <v>11</v>
      </c>
      <c r="C21" s="18"/>
      <c r="D21" s="197"/>
      <c r="E21" s="11"/>
      <c r="F21" s="197"/>
      <c r="G21" s="197">
        <v>8.5</v>
      </c>
      <c r="H21" s="197">
        <v>8.5</v>
      </c>
      <c r="I21" s="197"/>
      <c r="J21" s="197"/>
      <c r="K21" s="197"/>
      <c r="L21" s="197"/>
      <c r="M21" s="197"/>
      <c r="N21" s="197"/>
      <c r="O21" s="54"/>
      <c r="P21" s="54"/>
      <c r="Q21" s="54"/>
      <c r="R21" s="197"/>
      <c r="S21" s="197"/>
      <c r="T21" s="197"/>
      <c r="U21" s="197"/>
      <c r="V21" s="199"/>
      <c r="W21" s="197"/>
      <c r="X21" s="197"/>
      <c r="Y21" s="197"/>
      <c r="Z21" s="197"/>
      <c r="AA21" s="197"/>
      <c r="AB21" s="197"/>
      <c r="AC21" s="197"/>
      <c r="AD21" s="18"/>
      <c r="AE21" s="197"/>
      <c r="AF21" s="197"/>
      <c r="AG21" s="187"/>
      <c r="AH21" s="181" cm="1">
        <f t="array" ref="AH21" xml:space="preserve"> -SUMPRODUCT((C21:AG21&lt;&gt;"年") * (C21:AG21&lt;&gt;"调") * (C21:AG21&lt;&gt;"病") * (C21:AG21&lt;&gt;"事") * C22:AG22)</f>
        <v>0</v>
      </c>
      <c r="AI21" s="164">
        <f>-(SUMIF(C21:AG21,"=年",C22:AG22))</f>
        <v>0</v>
      </c>
      <c r="AJ21" s="166">
        <f>-(SUMIF(C21:AG21,"=调",C22:AG22))</f>
        <v>0</v>
      </c>
      <c r="AK21" s="166">
        <f>-(SUMIF(C21:AG21,"=病",C22:AG22))</f>
        <v>0</v>
      </c>
      <c r="AL21" s="166">
        <f>-(SUMIF(C21:AG21,"=事",C22:AG22))</f>
        <v>0</v>
      </c>
      <c r="AM21" s="72">
        <f>SUMIF(C4:AG4,"P",C21:AG22)</f>
        <v>0</v>
      </c>
      <c r="AN21" s="68">
        <f>SUMIF(C4:AG4,"S",C21:AG22)</f>
        <v>17</v>
      </c>
      <c r="AO21" s="79">
        <f>SUMIF(C4:AG4,"G",C21:AG22)</f>
        <v>0</v>
      </c>
      <c r="AP21" s="167">
        <f>AI21+'2026-08'!AP21</f>
        <v>45</v>
      </c>
      <c r="AQ21" s="201"/>
    </row>
    <row r="22" spans="1:43" s="1" customFormat="1" ht="15.95" customHeight="1">
      <c r="A22" s="175"/>
      <c r="B22" s="177"/>
      <c r="C22" s="50"/>
      <c r="D22" s="198"/>
      <c r="E22" s="15"/>
      <c r="F22" s="198"/>
      <c r="G22" s="198"/>
      <c r="H22" s="198"/>
      <c r="I22" s="198"/>
      <c r="J22" s="198"/>
      <c r="K22" s="198"/>
      <c r="L22" s="198"/>
      <c r="M22" s="198"/>
      <c r="N22" s="198"/>
      <c r="O22" s="17"/>
      <c r="P22" s="17"/>
      <c r="Q22" s="17"/>
      <c r="R22" s="198"/>
      <c r="S22" s="198"/>
      <c r="T22" s="198"/>
      <c r="U22" s="198"/>
      <c r="V22" s="179"/>
      <c r="W22" s="198"/>
      <c r="X22" s="198"/>
      <c r="Y22" s="198"/>
      <c r="Z22" s="198"/>
      <c r="AA22" s="198"/>
      <c r="AB22" s="198"/>
      <c r="AC22" s="198"/>
      <c r="AD22" s="50"/>
      <c r="AE22" s="198"/>
      <c r="AF22" s="198"/>
      <c r="AG22" s="188"/>
      <c r="AH22" s="181"/>
      <c r="AI22" s="164"/>
      <c r="AJ22" s="166"/>
      <c r="AK22" s="166"/>
      <c r="AL22" s="166"/>
      <c r="AM22" s="171">
        <f>IF(SUM(C21:AG21)-AJ21=0,"√",SUM(C21:AG21)-AJ21)</f>
        <v>17</v>
      </c>
      <c r="AN22" s="172"/>
      <c r="AO22" s="173"/>
      <c r="AP22" s="168"/>
      <c r="AQ22" s="201"/>
    </row>
    <row r="23" spans="1:43" s="1" customFormat="1" ht="15.95" customHeight="1">
      <c r="A23" s="185">
        <v>10</v>
      </c>
      <c r="B23" s="186" t="s">
        <v>12</v>
      </c>
      <c r="C23" s="197"/>
      <c r="D23" s="197"/>
      <c r="E23" s="197"/>
      <c r="F23" s="197"/>
      <c r="G23" s="197"/>
      <c r="H23" s="197">
        <v>8.5</v>
      </c>
      <c r="I23" s="197"/>
      <c r="J23" s="197"/>
      <c r="K23" s="197"/>
      <c r="L23" s="197"/>
      <c r="M23" s="197"/>
      <c r="N23" s="197"/>
      <c r="O23" s="199"/>
      <c r="P23" s="199"/>
      <c r="Q23" s="197"/>
      <c r="R23" s="197"/>
      <c r="S23" s="197"/>
      <c r="T23" s="197"/>
      <c r="U23" s="197"/>
      <c r="V23" s="184"/>
      <c r="W23" s="184"/>
      <c r="X23" s="197"/>
      <c r="Y23" s="197"/>
      <c r="Z23" s="197"/>
      <c r="AA23" s="197"/>
      <c r="AB23" s="197"/>
      <c r="AC23" s="197"/>
      <c r="AD23" s="197"/>
      <c r="AE23" s="197"/>
      <c r="AF23" s="197"/>
      <c r="AG23" s="187"/>
      <c r="AH23" s="181" cm="1">
        <f t="array" ref="AH23" xml:space="preserve"> -SUMPRODUCT((C23:AG23&lt;&gt;"年") * (C23:AG23&lt;&gt;"调") * (C23:AG23&lt;&gt;"病") * (C23:AG23&lt;&gt;"事") * C24:AG24)</f>
        <v>0</v>
      </c>
      <c r="AI23" s="189">
        <f>-(SUMIF(C23:AG23,"=年",C24:AG24))</f>
        <v>0</v>
      </c>
      <c r="AJ23" s="193">
        <f>-(SUMIF(C23:AG23,"=调",C24:AG24))</f>
        <v>0</v>
      </c>
      <c r="AK23" s="193">
        <f>-(SUMIF(C23:AG23,"=病",C24:AG24))</f>
        <v>0</v>
      </c>
      <c r="AL23" s="193">
        <f>-(SUMIF(C23:AG23,"=事",C24:AG24))</f>
        <v>0</v>
      </c>
      <c r="AM23" s="71">
        <f>SUMIF(C4:AG4,"P",C23:AG24)</f>
        <v>0</v>
      </c>
      <c r="AN23" s="46">
        <f>SUMIF(C4:AG4,"S",C23:AG24)</f>
        <v>8.5</v>
      </c>
      <c r="AO23" s="78">
        <f>SUMIF(C4:AG4,"G",C23:AG24)</f>
        <v>0</v>
      </c>
      <c r="AP23" s="167">
        <f>AI23+'2026-08'!AP23</f>
        <v>49</v>
      </c>
      <c r="AQ23" s="195"/>
    </row>
    <row r="24" spans="1:43" s="1" customFormat="1" ht="15.95" customHeight="1">
      <c r="A24" s="185"/>
      <c r="B24" s="186"/>
      <c r="C24" s="198"/>
      <c r="D24" s="198"/>
      <c r="E24" s="198"/>
      <c r="F24" s="198"/>
      <c r="G24" s="198"/>
      <c r="H24" s="198"/>
      <c r="I24" s="198"/>
      <c r="J24" s="198"/>
      <c r="K24" s="198"/>
      <c r="L24" s="198"/>
      <c r="M24" s="198"/>
      <c r="N24" s="198"/>
      <c r="O24" s="179"/>
      <c r="P24" s="179"/>
      <c r="Q24" s="198"/>
      <c r="R24" s="198"/>
      <c r="S24" s="198"/>
      <c r="T24" s="198"/>
      <c r="U24" s="198"/>
      <c r="V24" s="179"/>
      <c r="W24" s="179"/>
      <c r="X24" s="198"/>
      <c r="Y24" s="198"/>
      <c r="Z24" s="198"/>
      <c r="AA24" s="198"/>
      <c r="AB24" s="198"/>
      <c r="AC24" s="198"/>
      <c r="AD24" s="198"/>
      <c r="AE24" s="198"/>
      <c r="AF24" s="198"/>
      <c r="AG24" s="188"/>
      <c r="AH24" s="181"/>
      <c r="AI24" s="180"/>
      <c r="AJ24" s="194"/>
      <c r="AK24" s="194"/>
      <c r="AL24" s="194"/>
      <c r="AM24" s="190">
        <f>IF(SUM(C23:AG23)-AJ23=0,"√",SUM(C23:AG23)-AJ23)</f>
        <v>8.5</v>
      </c>
      <c r="AN24" s="191"/>
      <c r="AO24" s="200"/>
      <c r="AP24" s="168"/>
      <c r="AQ24" s="196"/>
    </row>
    <row r="25" spans="1:43" s="1" customFormat="1" ht="15.95" customHeight="1">
      <c r="A25" s="185">
        <v>11</v>
      </c>
      <c r="B25" s="186" t="s">
        <v>14</v>
      </c>
      <c r="C25" s="197"/>
      <c r="D25" s="197"/>
      <c r="E25" s="197"/>
      <c r="F25" s="197"/>
      <c r="G25" s="197">
        <v>8.5</v>
      </c>
      <c r="H25" s="197"/>
      <c r="I25" s="197"/>
      <c r="J25" s="197"/>
      <c r="K25" s="197"/>
      <c r="L25" s="197"/>
      <c r="M25" s="197"/>
      <c r="N25" s="197"/>
      <c r="O25" s="199"/>
      <c r="P25" s="199"/>
      <c r="Q25" s="197"/>
      <c r="R25" s="197"/>
      <c r="S25" s="197"/>
      <c r="T25" s="197"/>
      <c r="U25" s="197"/>
      <c r="V25" s="199"/>
      <c r="W25" s="54"/>
      <c r="X25" s="197"/>
      <c r="Y25" s="197"/>
      <c r="Z25" s="197"/>
      <c r="AA25" s="197"/>
      <c r="AB25" s="197"/>
      <c r="AC25" s="197"/>
      <c r="AD25" s="197"/>
      <c r="AE25" s="197"/>
      <c r="AF25" s="197"/>
      <c r="AG25" s="187"/>
      <c r="AH25" s="181" cm="1">
        <f t="array" ref="AH25" xml:space="preserve"> -SUMPRODUCT((C25:AG25&lt;&gt;"年") * (C25:AG25&lt;&gt;"调") * (C25:AG25&lt;&gt;"病") * (C25:AG25&lt;&gt;"事") * C26:AG26)</f>
        <v>0</v>
      </c>
      <c r="AI25" s="189">
        <f>-(SUMIF(C25:AG25,"=年",C26:AG26))</f>
        <v>0</v>
      </c>
      <c r="AJ25" s="193">
        <f>-(SUMIF(C25:AG25,"=调",C26:AG26))</f>
        <v>0</v>
      </c>
      <c r="AK25" s="193">
        <f>-(SUMIF(C25:AG25,"=病",C26:AG26))</f>
        <v>0</v>
      </c>
      <c r="AL25" s="193">
        <f>-(SUMIF(C25:AG25,"=事",C26:AG26))</f>
        <v>0</v>
      </c>
      <c r="AM25" s="71">
        <f>SUMIF(C4:AG4,"P",C25:AG26)</f>
        <v>0</v>
      </c>
      <c r="AN25" s="46">
        <f>SUMIF(C4:AG4,"S",C25:AG26)</f>
        <v>8.5</v>
      </c>
      <c r="AO25" s="78">
        <f>SUMIF(C4:AG4,"G",C25:AG26)</f>
        <v>0</v>
      </c>
      <c r="AP25" s="167">
        <f>AI25+'2026-08'!AP25</f>
        <v>35</v>
      </c>
      <c r="AQ25" s="195"/>
    </row>
    <row r="26" spans="1:43" s="1" customFormat="1" ht="15.95" customHeight="1">
      <c r="A26" s="185"/>
      <c r="B26" s="186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198"/>
      <c r="O26" s="179"/>
      <c r="P26" s="179"/>
      <c r="Q26" s="198"/>
      <c r="R26" s="198"/>
      <c r="S26" s="198"/>
      <c r="T26" s="198"/>
      <c r="U26" s="198"/>
      <c r="V26" s="179"/>
      <c r="W26" s="17"/>
      <c r="X26" s="198"/>
      <c r="Y26" s="198"/>
      <c r="Z26" s="198"/>
      <c r="AA26" s="198"/>
      <c r="AB26" s="198"/>
      <c r="AC26" s="198"/>
      <c r="AD26" s="198"/>
      <c r="AE26" s="198"/>
      <c r="AF26" s="198"/>
      <c r="AG26" s="188"/>
      <c r="AH26" s="181"/>
      <c r="AI26" s="180"/>
      <c r="AJ26" s="194"/>
      <c r="AK26" s="194"/>
      <c r="AL26" s="194"/>
      <c r="AM26" s="190">
        <f>IF(SUM(C25:AG25)-AJ25=0,"√",SUM(C25:AG25)-AJ25)</f>
        <v>8.5</v>
      </c>
      <c r="AN26" s="191"/>
      <c r="AO26" s="200"/>
      <c r="AP26" s="168"/>
      <c r="AQ26" s="196"/>
    </row>
    <row r="27" spans="1:43" s="1" customFormat="1" ht="15.95" customHeight="1">
      <c r="A27" s="182">
        <v>12</v>
      </c>
      <c r="B27" s="183" t="s">
        <v>34</v>
      </c>
      <c r="C27" s="37"/>
      <c r="D27" s="37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37"/>
      <c r="W27" s="9"/>
      <c r="X27" s="9"/>
      <c r="Y27" s="9"/>
      <c r="Z27" s="37"/>
      <c r="AA27" s="9"/>
      <c r="AB27" s="9"/>
      <c r="AC27" s="9"/>
      <c r="AD27" s="9"/>
      <c r="AE27" s="9"/>
      <c r="AF27" s="9"/>
      <c r="AG27" s="131"/>
      <c r="AH27" s="181" cm="1">
        <f t="array" ref="AH27" xml:space="preserve"> -SUMPRODUCT((C27:AG27&lt;&gt;"年") * (C27:AG27&lt;&gt;"调") * (C27:AG27&lt;&gt;"病") * (C27:AG27&lt;&gt;"事") * C28:AG28)</f>
        <v>0</v>
      </c>
      <c r="AI27" s="164">
        <f>-(SUMIF(C27:AG27,"=年",C28:AG28))</f>
        <v>0</v>
      </c>
      <c r="AJ27" s="166">
        <f>-(SUMIF(C27:AG27,"=调",C28:AG28))</f>
        <v>0</v>
      </c>
      <c r="AK27" s="166">
        <f>-(SUMIF(C27:AG27,"=病",C28:AG28))</f>
        <v>0</v>
      </c>
      <c r="AL27" s="166">
        <f>-(SUMIF(C27:AG27,"=事",C28:AG28))</f>
        <v>0</v>
      </c>
      <c r="AM27" s="72">
        <f>SUMIF(C4:AG4,"P",C27:AG28)</f>
        <v>0</v>
      </c>
      <c r="AN27" s="68">
        <f>SUMIF(C4:AG4,"S",C27:AG28)-AJ27</f>
        <v>0</v>
      </c>
      <c r="AO27" s="79">
        <f>SUMIF(C4:AG4,"G",C27:AG28)</f>
        <v>0</v>
      </c>
      <c r="AP27" s="167">
        <f>AI27+'2026-08'!AP27</f>
        <v>66.5</v>
      </c>
      <c r="AQ27" s="217"/>
    </row>
    <row r="28" spans="1:43" s="1" customFormat="1" ht="15.95" customHeight="1">
      <c r="A28" s="175"/>
      <c r="B28" s="210"/>
      <c r="C28" s="37"/>
      <c r="D28" s="37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131"/>
      <c r="AH28" s="181"/>
      <c r="AI28" s="164"/>
      <c r="AJ28" s="166"/>
      <c r="AK28" s="166"/>
      <c r="AL28" s="166"/>
      <c r="AM28" s="171" t="str">
        <f>IF(SUM(C27:AG27)-AJ27=0,"√",SUM(C27:AG27)-AJ27)</f>
        <v>√</v>
      </c>
      <c r="AN28" s="172"/>
      <c r="AO28" s="173"/>
      <c r="AP28" s="168"/>
      <c r="AQ28" s="170"/>
    </row>
    <row r="29" spans="1:43" s="1" customFormat="1" ht="15.95" customHeight="1">
      <c r="A29" s="175">
        <v>13</v>
      </c>
      <c r="B29" s="219" t="s">
        <v>56</v>
      </c>
      <c r="C29" s="11"/>
      <c r="D29" s="11"/>
      <c r="E29" s="5"/>
      <c r="F29" s="184">
        <v>3</v>
      </c>
      <c r="G29" s="184">
        <v>11.5</v>
      </c>
      <c r="H29" s="184">
        <v>11.5</v>
      </c>
      <c r="I29" s="5"/>
      <c r="J29" s="5"/>
      <c r="K29" s="5"/>
      <c r="L29" s="5"/>
      <c r="M29" s="5"/>
      <c r="N29" s="5"/>
      <c r="O29" s="134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184"/>
      <c r="AE29" s="5"/>
      <c r="AF29" s="5"/>
      <c r="AG29" s="130"/>
      <c r="AH29" s="181" cm="1">
        <f t="array" ref="AH29" xml:space="preserve"> -SUMPRODUCT((C29:AG29&lt;&gt;"年") * (C29:AG29&lt;&gt;"调") * (C29:AG29&lt;&gt;"病") * (C29:AG29&lt;&gt;"事") * C30:AG30)</f>
        <v>0</v>
      </c>
      <c r="AI29" s="189">
        <f>-(SUMIF(C29:AG29,"=年",C30:AG30))</f>
        <v>0</v>
      </c>
      <c r="AJ29" s="193">
        <f>-(SUMIF(C29:AG29,"=调",C30:AG30))</f>
        <v>0</v>
      </c>
      <c r="AK29" s="193">
        <f>-(SUMIF(C29:AG29,"=病",C30:AG30))</f>
        <v>0</v>
      </c>
      <c r="AL29" s="193">
        <f>-(SUMIF(C29:AG29,"=事",C30:AG30))</f>
        <v>0</v>
      </c>
      <c r="AM29" s="71">
        <f>SUMIF(C4:AG4,"P",C29:AG30)</f>
        <v>3</v>
      </c>
      <c r="AN29" s="46">
        <f>SUMIF(C4:AG4,"S",C29:AG30)-AJ29</f>
        <v>23</v>
      </c>
      <c r="AO29" s="56">
        <f>SUMIF(C4:AG4,"G",C29:AG30)</f>
        <v>0</v>
      </c>
      <c r="AP29" s="168">
        <f>AI29+'2026-08'!AP29</f>
        <v>0</v>
      </c>
      <c r="AQ29" s="208"/>
    </row>
    <row r="30" spans="1:43" s="1" customFormat="1" ht="15.95" customHeight="1" thickBot="1">
      <c r="A30" s="218"/>
      <c r="B30" s="220"/>
      <c r="C30" s="39"/>
      <c r="D30" s="39"/>
      <c r="E30" s="7"/>
      <c r="F30" s="221"/>
      <c r="G30" s="221"/>
      <c r="H30" s="221"/>
      <c r="I30" s="7"/>
      <c r="J30" s="7"/>
      <c r="K30" s="7"/>
      <c r="L30" s="7"/>
      <c r="M30" s="7"/>
      <c r="N30" s="7"/>
      <c r="O30" s="135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221"/>
      <c r="AE30" s="7"/>
      <c r="AF30" s="7"/>
      <c r="AG30" s="136"/>
      <c r="AH30" s="222"/>
      <c r="AI30" s="223"/>
      <c r="AJ30" s="211"/>
      <c r="AK30" s="211"/>
      <c r="AL30" s="211"/>
      <c r="AM30" s="213">
        <f>IF(SUM(C29:AG29)-AJ29=0,"√",SUM(C29:AG29)-AJ29)</f>
        <v>26</v>
      </c>
      <c r="AN30" s="214"/>
      <c r="AO30" s="215"/>
      <c r="AP30" s="212"/>
      <c r="AQ30" s="209"/>
    </row>
    <row r="31" spans="1:43" ht="45.75" customHeight="1">
      <c r="A31" s="216" t="s">
        <v>57</v>
      </c>
      <c r="B31" s="216"/>
      <c r="C31" s="216"/>
      <c r="D31" s="216"/>
      <c r="E31" s="216"/>
      <c r="F31" s="216"/>
      <c r="G31" s="216"/>
      <c r="H31" s="216"/>
      <c r="I31" s="216"/>
      <c r="J31" s="216"/>
      <c r="K31" s="216"/>
      <c r="L31" s="216"/>
      <c r="M31" s="216"/>
      <c r="N31" s="216"/>
      <c r="O31" s="216"/>
      <c r="P31" s="216"/>
      <c r="Q31" s="216"/>
      <c r="R31" s="216"/>
      <c r="S31" s="216"/>
      <c r="T31" s="216"/>
      <c r="U31" s="216"/>
      <c r="V31" s="216"/>
      <c r="W31" s="216"/>
      <c r="X31" s="216"/>
      <c r="Y31" s="216"/>
      <c r="Z31" s="216"/>
      <c r="AA31" s="216"/>
      <c r="AB31" s="216"/>
      <c r="AC31" s="216"/>
      <c r="AD31" s="216"/>
      <c r="AE31" s="216"/>
      <c r="AF31" s="216"/>
      <c r="AG31" s="216"/>
      <c r="AH31" s="216"/>
      <c r="AI31" s="216"/>
      <c r="AJ31" s="216"/>
      <c r="AK31" s="216"/>
      <c r="AL31" s="216"/>
      <c r="AM31" s="216"/>
      <c r="AN31" s="216"/>
      <c r="AO31" s="216"/>
      <c r="AP31" s="216"/>
      <c r="AQ31" s="216"/>
    </row>
    <row r="32" spans="1:43" ht="59.25" customHeight="1">
      <c r="A32" s="207" t="s">
        <v>13</v>
      </c>
      <c r="B32" s="207"/>
      <c r="C32" s="207"/>
      <c r="D32" s="207"/>
      <c r="E32" s="207"/>
      <c r="F32" s="207"/>
      <c r="G32" s="207"/>
      <c r="H32" s="207"/>
      <c r="I32" s="207"/>
      <c r="J32" s="207"/>
      <c r="K32" s="207"/>
      <c r="L32" s="207"/>
      <c r="M32" s="207"/>
      <c r="N32" s="207"/>
      <c r="O32" s="207" t="s">
        <v>23</v>
      </c>
      <c r="P32" s="207"/>
      <c r="Q32" s="207"/>
      <c r="R32" s="207"/>
      <c r="S32" s="207"/>
      <c r="T32" s="207"/>
      <c r="U32" s="207"/>
      <c r="V32" s="207"/>
      <c r="W32" s="207"/>
      <c r="X32" s="207"/>
      <c r="Y32" s="207"/>
      <c r="Z32" s="207"/>
      <c r="AA32" s="207"/>
      <c r="AB32" s="207"/>
      <c r="AC32" s="207"/>
      <c r="AD32" s="207" t="s">
        <v>10</v>
      </c>
      <c r="AE32" s="207"/>
      <c r="AF32" s="207"/>
      <c r="AG32" s="207"/>
      <c r="AH32" s="207"/>
      <c r="AI32" s="207"/>
      <c r="AJ32" s="207"/>
      <c r="AK32" s="207"/>
      <c r="AL32" s="207"/>
      <c r="AM32" s="207"/>
      <c r="AN32" s="207"/>
      <c r="AO32" s="207"/>
      <c r="AP32" s="207"/>
      <c r="AQ32" s="207"/>
    </row>
    <row r="33" spans="1:3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</row>
  </sheetData>
  <mergeCells count="341">
    <mergeCell ref="AK29:AK30"/>
    <mergeCell ref="AL29:AL30"/>
    <mergeCell ref="AP29:AP30"/>
    <mergeCell ref="AM30:AO30"/>
    <mergeCell ref="A31:AQ31"/>
    <mergeCell ref="AL27:AL28"/>
    <mergeCell ref="AP27:AP28"/>
    <mergeCell ref="AQ27:AQ28"/>
    <mergeCell ref="AM28:AO28"/>
    <mergeCell ref="A29:A30"/>
    <mergeCell ref="B29:B30"/>
    <mergeCell ref="AD29:AD30"/>
    <mergeCell ref="AH29:AH30"/>
    <mergeCell ref="AI29:AI30"/>
    <mergeCell ref="AJ29:AJ30"/>
    <mergeCell ref="F29:F30"/>
    <mergeCell ref="G29:G30"/>
    <mergeCell ref="H29:H30"/>
    <mergeCell ref="A32:N32"/>
    <mergeCell ref="O32:AC32"/>
    <mergeCell ref="AD32:AQ32"/>
    <mergeCell ref="AQ29:AQ30"/>
    <mergeCell ref="AL25:AL26"/>
    <mergeCell ref="AP25:AP26"/>
    <mergeCell ref="AQ25:AQ26"/>
    <mergeCell ref="AM26:AO26"/>
    <mergeCell ref="A27:A28"/>
    <mergeCell ref="B27:B28"/>
    <mergeCell ref="AH27:AH28"/>
    <mergeCell ref="AI27:AI28"/>
    <mergeCell ref="AJ27:AJ28"/>
    <mergeCell ref="AK27:AK28"/>
    <mergeCell ref="AF25:AF26"/>
    <mergeCell ref="AG25:AG26"/>
    <mergeCell ref="AH25:AH26"/>
    <mergeCell ref="AI25:AI26"/>
    <mergeCell ref="AJ25:AJ26"/>
    <mergeCell ref="AK25:AK26"/>
    <mergeCell ref="Z25:Z26"/>
    <mergeCell ref="AA25:AA26"/>
    <mergeCell ref="AB25:AB26"/>
    <mergeCell ref="AC25:AC26"/>
    <mergeCell ref="AD25:AD26"/>
    <mergeCell ref="AE25:AE26"/>
    <mergeCell ref="S25:S26"/>
    <mergeCell ref="T25:T26"/>
    <mergeCell ref="U25:U26"/>
    <mergeCell ref="V25:V26"/>
    <mergeCell ref="X25:X26"/>
    <mergeCell ref="Y25:Y26"/>
    <mergeCell ref="M25:M26"/>
    <mergeCell ref="N25:N26"/>
    <mergeCell ref="O25:O26"/>
    <mergeCell ref="P25:P26"/>
    <mergeCell ref="Q25:Q26"/>
    <mergeCell ref="R25:R26"/>
    <mergeCell ref="G25:G26"/>
    <mergeCell ref="H25:H26"/>
    <mergeCell ref="I25:I26"/>
    <mergeCell ref="J25:J26"/>
    <mergeCell ref="K25:K26"/>
    <mergeCell ref="L25:L26"/>
    <mergeCell ref="A25:A26"/>
    <mergeCell ref="B25:B26"/>
    <mergeCell ref="C25:C26"/>
    <mergeCell ref="D25:D26"/>
    <mergeCell ref="E25:E26"/>
    <mergeCell ref="F25:F26"/>
    <mergeCell ref="AJ23:AJ24"/>
    <mergeCell ref="AK23:AK24"/>
    <mergeCell ref="AL23:AL24"/>
    <mergeCell ref="AP23:AP24"/>
    <mergeCell ref="AQ23:AQ24"/>
    <mergeCell ref="AM24:AO24"/>
    <mergeCell ref="AD23:AD24"/>
    <mergeCell ref="AE23:AE24"/>
    <mergeCell ref="AF23:AF24"/>
    <mergeCell ref="AG23:AG24"/>
    <mergeCell ref="AH23:AH24"/>
    <mergeCell ref="AI23:AI24"/>
    <mergeCell ref="X23:X24"/>
    <mergeCell ref="Y23:Y24"/>
    <mergeCell ref="Z23:Z24"/>
    <mergeCell ref="AA23:AA24"/>
    <mergeCell ref="AB23:AB24"/>
    <mergeCell ref="AC23:AC24"/>
    <mergeCell ref="R23:R24"/>
    <mergeCell ref="S23:S24"/>
    <mergeCell ref="T23:T24"/>
    <mergeCell ref="U23:U24"/>
    <mergeCell ref="V23:V24"/>
    <mergeCell ref="W23:W24"/>
    <mergeCell ref="L23:L24"/>
    <mergeCell ref="M23:M24"/>
    <mergeCell ref="N23:N24"/>
    <mergeCell ref="O23:O24"/>
    <mergeCell ref="P23:P24"/>
    <mergeCell ref="Q23:Q24"/>
    <mergeCell ref="F23:F24"/>
    <mergeCell ref="G23:G24"/>
    <mergeCell ref="H23:H24"/>
    <mergeCell ref="I23:I24"/>
    <mergeCell ref="J23:J24"/>
    <mergeCell ref="K23:K24"/>
    <mergeCell ref="AK21:AK22"/>
    <mergeCell ref="AL21:AL22"/>
    <mergeCell ref="AP21:AP22"/>
    <mergeCell ref="AQ21:AQ22"/>
    <mergeCell ref="AM22:AO22"/>
    <mergeCell ref="A23:A24"/>
    <mergeCell ref="B23:B24"/>
    <mergeCell ref="C23:C24"/>
    <mergeCell ref="D23:D24"/>
    <mergeCell ref="E23:E24"/>
    <mergeCell ref="AE21:AE22"/>
    <mergeCell ref="AF21:AF22"/>
    <mergeCell ref="AG21:AG22"/>
    <mergeCell ref="AH21:AH22"/>
    <mergeCell ref="AI21:AI22"/>
    <mergeCell ref="AJ21:AJ22"/>
    <mergeCell ref="X21:X22"/>
    <mergeCell ref="Y21:Y22"/>
    <mergeCell ref="Z21:Z22"/>
    <mergeCell ref="AA21:AA22"/>
    <mergeCell ref="AB21:AB22"/>
    <mergeCell ref="AC21:AC22"/>
    <mergeCell ref="R21:R22"/>
    <mergeCell ref="S21:S22"/>
    <mergeCell ref="T21:T22"/>
    <mergeCell ref="U21:U22"/>
    <mergeCell ref="V21:V22"/>
    <mergeCell ref="W21:W22"/>
    <mergeCell ref="I21:I22"/>
    <mergeCell ref="J21:J22"/>
    <mergeCell ref="K21:K22"/>
    <mergeCell ref="L21:L22"/>
    <mergeCell ref="M21:M22"/>
    <mergeCell ref="N21:N22"/>
    <mergeCell ref="A21:A22"/>
    <mergeCell ref="B21:B22"/>
    <mergeCell ref="D21:D22"/>
    <mergeCell ref="F21:F22"/>
    <mergeCell ref="G21:G22"/>
    <mergeCell ref="H21:H22"/>
    <mergeCell ref="AI19:AI20"/>
    <mergeCell ref="AJ19:AJ20"/>
    <mergeCell ref="AK19:AK20"/>
    <mergeCell ref="W19:W20"/>
    <mergeCell ref="X19:X20"/>
    <mergeCell ref="Y19:Y20"/>
    <mergeCell ref="Z19:Z20"/>
    <mergeCell ref="AA19:AA20"/>
    <mergeCell ref="AB19:AB20"/>
    <mergeCell ref="P19:P20"/>
    <mergeCell ref="Q19:Q20"/>
    <mergeCell ref="R19:R20"/>
    <mergeCell ref="S19:S20"/>
    <mergeCell ref="T19:T20"/>
    <mergeCell ref="U19:U20"/>
    <mergeCell ref="H19:H20"/>
    <mergeCell ref="K19:K20"/>
    <mergeCell ref="M19:M20"/>
    <mergeCell ref="N19:N20"/>
    <mergeCell ref="O19:O20"/>
    <mergeCell ref="AP17:AP18"/>
    <mergeCell ref="AQ17:AQ18"/>
    <mergeCell ref="AM18:AO18"/>
    <mergeCell ref="A19:A20"/>
    <mergeCell ref="B19:B20"/>
    <mergeCell ref="C19:C20"/>
    <mergeCell ref="D19:D20"/>
    <mergeCell ref="E19:E20"/>
    <mergeCell ref="F19:F20"/>
    <mergeCell ref="G19:G20"/>
    <mergeCell ref="AL19:AL20"/>
    <mergeCell ref="AP19:AP20"/>
    <mergeCell ref="AQ19:AQ20"/>
    <mergeCell ref="AM20:AO20"/>
    <mergeCell ref="AC19:AC20"/>
    <mergeCell ref="AD19:AD20"/>
    <mergeCell ref="AE19:AE20"/>
    <mergeCell ref="AF19:AF20"/>
    <mergeCell ref="AG19:AG20"/>
    <mergeCell ref="AH19:AH20"/>
    <mergeCell ref="AP15:AP16"/>
    <mergeCell ref="AQ15:AQ16"/>
    <mergeCell ref="AM16:AO16"/>
    <mergeCell ref="A17:A18"/>
    <mergeCell ref="B17:B18"/>
    <mergeCell ref="AH17:AH18"/>
    <mergeCell ref="AI17:AI18"/>
    <mergeCell ref="AJ17:AJ18"/>
    <mergeCell ref="AK17:AK18"/>
    <mergeCell ref="AL17:AL18"/>
    <mergeCell ref="AG15:AG16"/>
    <mergeCell ref="AH15:AH16"/>
    <mergeCell ref="AI15:AI16"/>
    <mergeCell ref="AJ15:AJ16"/>
    <mergeCell ref="AK15:AK16"/>
    <mergeCell ref="AL15:AL16"/>
    <mergeCell ref="AA15:AA16"/>
    <mergeCell ref="AB15:AB16"/>
    <mergeCell ref="AC15:AC16"/>
    <mergeCell ref="AD15:AD16"/>
    <mergeCell ref="AE15:AE16"/>
    <mergeCell ref="AF15:AF16"/>
    <mergeCell ref="U15:U16"/>
    <mergeCell ref="V15:V16"/>
    <mergeCell ref="W15:W16"/>
    <mergeCell ref="X15:X16"/>
    <mergeCell ref="Y15:Y16"/>
    <mergeCell ref="Z15:Z16"/>
    <mergeCell ref="O15:O16"/>
    <mergeCell ref="P15:P16"/>
    <mergeCell ref="Q15:Q16"/>
    <mergeCell ref="R15:R16"/>
    <mergeCell ref="S15:S16"/>
    <mergeCell ref="T15:T16"/>
    <mergeCell ref="I15:I16"/>
    <mergeCell ref="J15:J16"/>
    <mergeCell ref="K15:K16"/>
    <mergeCell ref="L15:L16"/>
    <mergeCell ref="M15:M16"/>
    <mergeCell ref="N15:N16"/>
    <mergeCell ref="AQ13:AQ14"/>
    <mergeCell ref="AM14:AO14"/>
    <mergeCell ref="A15:A16"/>
    <mergeCell ref="B15:B16"/>
    <mergeCell ref="C15:C16"/>
    <mergeCell ref="D15:D16"/>
    <mergeCell ref="E15:E16"/>
    <mergeCell ref="F15:F16"/>
    <mergeCell ref="G15:G16"/>
    <mergeCell ref="H15:H16"/>
    <mergeCell ref="AH13:AH14"/>
    <mergeCell ref="AI13:AI14"/>
    <mergeCell ref="AJ13:AJ14"/>
    <mergeCell ref="AK13:AK14"/>
    <mergeCell ref="AL13:AL14"/>
    <mergeCell ref="AP13:AP14"/>
    <mergeCell ref="V13:V14"/>
    <mergeCell ref="W13:W14"/>
    <mergeCell ref="AA13:AA14"/>
    <mergeCell ref="AB13:AB14"/>
    <mergeCell ref="AD13:AD14"/>
    <mergeCell ref="AG13:AG14"/>
    <mergeCell ref="I13:I14"/>
    <mergeCell ref="M13:M14"/>
    <mergeCell ref="N13:N14"/>
    <mergeCell ref="O13:O14"/>
    <mergeCell ref="P13:P14"/>
    <mergeCell ref="U13:U14"/>
    <mergeCell ref="AL11:AL12"/>
    <mergeCell ref="AP11:AP12"/>
    <mergeCell ref="AQ11:AQ12"/>
    <mergeCell ref="AM12:AO12"/>
    <mergeCell ref="A13:A14"/>
    <mergeCell ref="B13:B14"/>
    <mergeCell ref="E13:E14"/>
    <mergeCell ref="F13:F14"/>
    <mergeCell ref="G13:G14"/>
    <mergeCell ref="H13:H14"/>
    <mergeCell ref="AF11:AF12"/>
    <mergeCell ref="AG11:AG12"/>
    <mergeCell ref="AH11:AH12"/>
    <mergeCell ref="AI11:AI12"/>
    <mergeCell ref="AJ11:AJ12"/>
    <mergeCell ref="AK11:AK12"/>
    <mergeCell ref="Z11:Z12"/>
    <mergeCell ref="AA11:AA12"/>
    <mergeCell ref="AB11:AB12"/>
    <mergeCell ref="AC11:AC12"/>
    <mergeCell ref="AD11:AD12"/>
    <mergeCell ref="AE11:AE12"/>
    <mergeCell ref="T11:T12"/>
    <mergeCell ref="U11:U12"/>
    <mergeCell ref="V11:V12"/>
    <mergeCell ref="W11:W12"/>
    <mergeCell ref="X11:X12"/>
    <mergeCell ref="Y11:Y12"/>
    <mergeCell ref="N11:N12"/>
    <mergeCell ref="O11:O12"/>
    <mergeCell ref="P11:P12"/>
    <mergeCell ref="Q11:Q12"/>
    <mergeCell ref="R11:R12"/>
    <mergeCell ref="S11:S12"/>
    <mergeCell ref="H11:H12"/>
    <mergeCell ref="I11:I12"/>
    <mergeCell ref="J11:J12"/>
    <mergeCell ref="L11:L12"/>
    <mergeCell ref="M11:M12"/>
    <mergeCell ref="A11:A12"/>
    <mergeCell ref="B11:B12"/>
    <mergeCell ref="D11:D12"/>
    <mergeCell ref="E11:E12"/>
    <mergeCell ref="F11:F12"/>
    <mergeCell ref="G11:G12"/>
    <mergeCell ref="AJ9:AJ10"/>
    <mergeCell ref="AK9:AK10"/>
    <mergeCell ref="AL9:AL10"/>
    <mergeCell ref="AP9:AP10"/>
    <mergeCell ref="AQ9:AQ10"/>
    <mergeCell ref="AM10:AO10"/>
    <mergeCell ref="AK7:AK8"/>
    <mergeCell ref="AL7:AL8"/>
    <mergeCell ref="AP7:AP8"/>
    <mergeCell ref="AQ7:AQ8"/>
    <mergeCell ref="AM8:AO8"/>
    <mergeCell ref="AJ7:AJ8"/>
    <mergeCell ref="A9:A10"/>
    <mergeCell ref="B9:B10"/>
    <mergeCell ref="G9:G10"/>
    <mergeCell ref="AH9:AH10"/>
    <mergeCell ref="AI9:AI10"/>
    <mergeCell ref="A7:A8"/>
    <mergeCell ref="B7:B8"/>
    <mergeCell ref="AG7:AG8"/>
    <mergeCell ref="AH7:AH8"/>
    <mergeCell ref="AI7:AI8"/>
    <mergeCell ref="AI5:AI6"/>
    <mergeCell ref="AJ5:AJ6"/>
    <mergeCell ref="AK5:AK6"/>
    <mergeCell ref="AL5:AL6"/>
    <mergeCell ref="AP5:AP6"/>
    <mergeCell ref="AQ5:AQ6"/>
    <mergeCell ref="AM6:AO6"/>
    <mergeCell ref="A5:A6"/>
    <mergeCell ref="B5:B6"/>
    <mergeCell ref="U5:U6"/>
    <mergeCell ref="V5:V6"/>
    <mergeCell ref="W5:W6"/>
    <mergeCell ref="AH5:AH6"/>
    <mergeCell ref="A1:AQ1"/>
    <mergeCell ref="A2:A4"/>
    <mergeCell ref="B2:B4"/>
    <mergeCell ref="C2:AG2"/>
    <mergeCell ref="AH2:AO2"/>
    <mergeCell ref="AP2:AP4"/>
    <mergeCell ref="AQ2:AQ4"/>
    <mergeCell ref="AH3:AL3"/>
    <mergeCell ref="AM3:AO3"/>
  </mergeCells>
  <phoneticPr fontId="8" type="noConversion"/>
  <conditionalFormatting sqref="C3:AG30">
    <cfRule type="expression" dxfId="19" priority="1">
      <formula>C$4="#"</formula>
    </cfRule>
    <cfRule type="expression" dxfId="18" priority="3">
      <formula>C$4="G"</formula>
    </cfRule>
    <cfRule type="expression" dxfId="17" priority="5">
      <formula>C$4="S"</formula>
    </cfRule>
    <cfRule type="expression" dxfId="16" priority="6">
      <formula>C$4="P"</formula>
    </cfRule>
  </conditionalFormatting>
  <conditionalFormatting sqref="D3:D30">
    <cfRule type="expression" dxfId="15" priority="4">
      <formula>$D$4="G"</formula>
    </cfRule>
  </conditionalFormatting>
  <pageMargins left="0.25138888888888899" right="0.25138888888888899" top="0.55486111111111103" bottom="0.55486111111111103" header="0.29861111111111099" footer="0.29861111111111099"/>
  <pageSetup paperSize="9" scale="68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6C64A-6187-4AE3-B85F-E506A563BDD8}">
  <sheetPr>
    <pageSetUpPr fitToPage="1"/>
  </sheetPr>
  <dimension ref="A1:AQ33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2" sqref="C2:AG2"/>
    </sheetView>
  </sheetViews>
  <sheetFormatPr defaultColWidth="9" defaultRowHeight="14.25"/>
  <cols>
    <col min="1" max="1" width="7" customWidth="1"/>
    <col min="2" max="2" width="9" customWidth="1"/>
    <col min="3" max="33" width="4.5" customWidth="1"/>
    <col min="34" max="38" width="4" customWidth="1"/>
    <col min="39" max="41" width="4.375" bestFit="1" customWidth="1"/>
    <col min="42" max="42" width="6.375" customWidth="1"/>
    <col min="43" max="43" width="12" customWidth="1"/>
  </cols>
  <sheetData>
    <row r="1" spans="1:43" ht="69.75" customHeight="1" thickBot="1">
      <c r="A1" s="142" t="s">
        <v>15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  <c r="AD1" s="142"/>
      <c r="AE1" s="142"/>
      <c r="AF1" s="142"/>
      <c r="AG1" s="142"/>
      <c r="AH1" s="142"/>
      <c r="AI1" s="142"/>
      <c r="AJ1" s="142"/>
      <c r="AK1" s="142"/>
      <c r="AL1" s="142"/>
      <c r="AM1" s="142"/>
      <c r="AN1" s="142"/>
      <c r="AO1" s="142"/>
      <c r="AP1" s="142"/>
      <c r="AQ1" s="142"/>
    </row>
    <row r="2" spans="1:43" ht="40.5" customHeight="1">
      <c r="A2" s="143" t="s">
        <v>0</v>
      </c>
      <c r="B2" s="145" t="s">
        <v>1</v>
      </c>
      <c r="C2" s="147" t="str">
        <f>"2026年10月出勤状况(工作日:"&amp;COUNTIF(C4:AG4, "P")&amp;"天)"</f>
        <v>2026年10月出勤状况(工作日:18天)</v>
      </c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9" t="s">
        <v>39</v>
      </c>
      <c r="AI2" s="150"/>
      <c r="AJ2" s="150"/>
      <c r="AK2" s="150"/>
      <c r="AL2" s="150"/>
      <c r="AM2" s="150"/>
      <c r="AN2" s="150"/>
      <c r="AO2" s="151"/>
      <c r="AP2" s="152" t="s">
        <v>16</v>
      </c>
      <c r="AQ2" s="155" t="s">
        <v>24</v>
      </c>
    </row>
    <row r="3" spans="1:43">
      <c r="A3" s="144"/>
      <c r="B3" s="146"/>
      <c r="C3" s="51">
        <v>1</v>
      </c>
      <c r="D3" s="51">
        <v>2</v>
      </c>
      <c r="E3" s="51">
        <v>3</v>
      </c>
      <c r="F3" s="51">
        <v>4</v>
      </c>
      <c r="G3" s="51">
        <v>5</v>
      </c>
      <c r="H3" s="51">
        <v>6</v>
      </c>
      <c r="I3" s="51">
        <v>7</v>
      </c>
      <c r="J3" s="51">
        <v>8</v>
      </c>
      <c r="K3" s="51">
        <v>9</v>
      </c>
      <c r="L3" s="51">
        <v>10</v>
      </c>
      <c r="M3" s="51">
        <v>11</v>
      </c>
      <c r="N3" s="51">
        <v>12</v>
      </c>
      <c r="O3" s="51">
        <v>13</v>
      </c>
      <c r="P3" s="51">
        <v>14</v>
      </c>
      <c r="Q3" s="51">
        <v>15</v>
      </c>
      <c r="R3" s="51">
        <v>16</v>
      </c>
      <c r="S3" s="51">
        <v>17</v>
      </c>
      <c r="T3" s="51">
        <v>18</v>
      </c>
      <c r="U3" s="51">
        <v>19</v>
      </c>
      <c r="V3" s="51">
        <v>20</v>
      </c>
      <c r="W3" s="51">
        <v>21</v>
      </c>
      <c r="X3" s="51">
        <v>22</v>
      </c>
      <c r="Y3" s="51">
        <v>23</v>
      </c>
      <c r="Z3" s="51">
        <v>24</v>
      </c>
      <c r="AA3" s="51">
        <v>25</v>
      </c>
      <c r="AB3" s="51">
        <v>26</v>
      </c>
      <c r="AC3" s="51">
        <v>27</v>
      </c>
      <c r="AD3" s="51">
        <v>28</v>
      </c>
      <c r="AE3" s="51">
        <v>29</v>
      </c>
      <c r="AF3" s="51">
        <v>30</v>
      </c>
      <c r="AG3" s="51">
        <v>31</v>
      </c>
      <c r="AH3" s="157" t="s">
        <v>43</v>
      </c>
      <c r="AI3" s="158"/>
      <c r="AJ3" s="158"/>
      <c r="AK3" s="158"/>
      <c r="AL3" s="159"/>
      <c r="AM3" s="160" t="s">
        <v>42</v>
      </c>
      <c r="AN3" s="161"/>
      <c r="AO3" s="162"/>
      <c r="AP3" s="153"/>
      <c r="AQ3" s="156"/>
    </row>
    <row r="4" spans="1:43" ht="15" thickBot="1">
      <c r="A4" s="144"/>
      <c r="B4" s="146"/>
      <c r="C4" s="133" t="s">
        <v>28</v>
      </c>
      <c r="D4" s="133" t="s">
        <v>28</v>
      </c>
      <c r="E4" s="133" t="s">
        <v>28</v>
      </c>
      <c r="F4" s="133" t="s">
        <v>30</v>
      </c>
      <c r="G4" s="133" t="s">
        <v>30</v>
      </c>
      <c r="H4" s="133" t="s">
        <v>30</v>
      </c>
      <c r="I4" s="133" t="s">
        <v>30</v>
      </c>
      <c r="J4" s="133" t="s">
        <v>29</v>
      </c>
      <c r="K4" s="133" t="s">
        <v>29</v>
      </c>
      <c r="L4" s="133" t="s">
        <v>29</v>
      </c>
      <c r="M4" s="133" t="s">
        <v>30</v>
      </c>
      <c r="N4" s="133" t="s">
        <v>29</v>
      </c>
      <c r="O4" s="133" t="s">
        <v>29</v>
      </c>
      <c r="P4" s="133" t="s">
        <v>29</v>
      </c>
      <c r="Q4" s="133" t="s">
        <v>29</v>
      </c>
      <c r="R4" s="133" t="s">
        <v>29</v>
      </c>
      <c r="S4" s="133" t="s">
        <v>30</v>
      </c>
      <c r="T4" s="133" t="s">
        <v>30</v>
      </c>
      <c r="U4" s="133" t="s">
        <v>29</v>
      </c>
      <c r="V4" s="133" t="s">
        <v>29</v>
      </c>
      <c r="W4" s="133" t="s">
        <v>29</v>
      </c>
      <c r="X4" s="133" t="s">
        <v>29</v>
      </c>
      <c r="Y4" s="133" t="s">
        <v>29</v>
      </c>
      <c r="Z4" s="133" t="s">
        <v>30</v>
      </c>
      <c r="AA4" s="133" t="s">
        <v>30</v>
      </c>
      <c r="AB4" s="133" t="s">
        <v>29</v>
      </c>
      <c r="AC4" s="133" t="s">
        <v>29</v>
      </c>
      <c r="AD4" s="133" t="s">
        <v>29</v>
      </c>
      <c r="AE4" s="133" t="s">
        <v>29</v>
      </c>
      <c r="AF4" s="133" t="s">
        <v>29</v>
      </c>
      <c r="AG4" s="133" t="s">
        <v>30</v>
      </c>
      <c r="AH4" s="141" t="s">
        <v>62</v>
      </c>
      <c r="AI4" s="138" t="s">
        <v>21</v>
      </c>
      <c r="AJ4" s="139" t="s">
        <v>22</v>
      </c>
      <c r="AK4" s="139" t="s">
        <v>60</v>
      </c>
      <c r="AL4" s="140" t="s">
        <v>63</v>
      </c>
      <c r="AM4" s="138" t="s">
        <v>64</v>
      </c>
      <c r="AN4" s="139" t="s">
        <v>65</v>
      </c>
      <c r="AO4" s="140" t="s">
        <v>66</v>
      </c>
      <c r="AP4" s="154"/>
      <c r="AQ4" s="156"/>
    </row>
    <row r="5" spans="1:43" s="1" customFormat="1" ht="15.95" customHeight="1">
      <c r="A5" s="174">
        <v>1</v>
      </c>
      <c r="B5" s="176" t="s">
        <v>2</v>
      </c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178"/>
      <c r="V5" s="178"/>
      <c r="W5" s="178"/>
      <c r="X5" s="64"/>
      <c r="Y5" s="64"/>
      <c r="Z5" s="64"/>
      <c r="AA5" s="64"/>
      <c r="AB5" s="64"/>
      <c r="AC5" s="64"/>
      <c r="AD5" s="64"/>
      <c r="AE5" s="64"/>
      <c r="AF5" s="64"/>
      <c r="AG5" s="128"/>
      <c r="AH5" s="180" cm="1">
        <f t="array" ref="AH5" xml:space="preserve"> -SUMPRODUCT((C5:AG5&lt;&gt;"年") * (C5:AG5&lt;&gt;"调") * (C5:AG5&lt;&gt;"病") * (C5:AG5&lt;&gt;"事") * C6:AG6)</f>
        <v>0</v>
      </c>
      <c r="AI5" s="163">
        <f>-(SUMIF(C5:AG5,"=年",C6:AG6))</f>
        <v>0</v>
      </c>
      <c r="AJ5" s="165">
        <f>-(SUMIF(C5:AG5,"=调",C6:AG6))</f>
        <v>0</v>
      </c>
      <c r="AK5" s="165">
        <f>-(SUMIF(C5:AG5,"=病",C6:AG6))</f>
        <v>0</v>
      </c>
      <c r="AL5" s="165">
        <f>-(SUMIF(C5:AG5,"=事",C6:AG6))</f>
        <v>0</v>
      </c>
      <c r="AM5" s="70">
        <f>SUMIF(C4:AG4,"P",C5:AG6)</f>
        <v>0</v>
      </c>
      <c r="AN5" s="67">
        <f>SUMIF(C4:AG4,"S",C5:AG6)</f>
        <v>0</v>
      </c>
      <c r="AO5" s="77">
        <f>SUMIF(C4:AG4,"G",C5:AG6)</f>
        <v>0</v>
      </c>
      <c r="AP5" s="167">
        <f>AI5+'2026-09'!AP5</f>
        <v>33.5</v>
      </c>
      <c r="AQ5" s="169"/>
    </row>
    <row r="6" spans="1:43" s="1" customFormat="1" ht="15.95" customHeight="1">
      <c r="A6" s="175"/>
      <c r="B6" s="177"/>
      <c r="C6" s="16"/>
      <c r="D6" s="16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179"/>
      <c r="V6" s="179"/>
      <c r="W6" s="179"/>
      <c r="X6" s="8"/>
      <c r="Y6" s="8"/>
      <c r="Z6" s="8"/>
      <c r="AA6" s="8"/>
      <c r="AB6" s="8"/>
      <c r="AC6" s="8"/>
      <c r="AD6" s="8"/>
      <c r="AE6" s="8"/>
      <c r="AF6" s="8"/>
      <c r="AG6" s="129"/>
      <c r="AH6" s="181"/>
      <c r="AI6" s="164"/>
      <c r="AJ6" s="166"/>
      <c r="AK6" s="166"/>
      <c r="AL6" s="166"/>
      <c r="AM6" s="171" t="str">
        <f>IF(SUM(C5:AG5)-AJ5=0,"√",SUM(C5:AG5)-AJ5)</f>
        <v>√</v>
      </c>
      <c r="AN6" s="172"/>
      <c r="AO6" s="173"/>
      <c r="AP6" s="168"/>
      <c r="AQ6" s="170"/>
    </row>
    <row r="7" spans="1:43" s="1" customFormat="1" ht="15.95" customHeight="1">
      <c r="A7" s="185">
        <v>2</v>
      </c>
      <c r="B7" s="186" t="s">
        <v>3</v>
      </c>
      <c r="C7" s="14"/>
      <c r="D7" s="14"/>
      <c r="E7" s="12"/>
      <c r="F7" s="12"/>
      <c r="G7" s="12"/>
      <c r="H7" s="12"/>
      <c r="I7" s="12"/>
      <c r="J7" s="14"/>
      <c r="K7" s="14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4"/>
      <c r="AF7" s="12"/>
      <c r="AG7" s="187"/>
      <c r="AH7" s="181" cm="1">
        <f t="array" ref="AH7" xml:space="preserve"> -SUMPRODUCT((C7:AG7&lt;&gt;"年") * (C7:AG7&lt;&gt;"调") * (C7:AG7&lt;&gt;"病") * (C7:AG7&lt;&gt;"事") * C8:AG8)</f>
        <v>0</v>
      </c>
      <c r="AI7" s="189">
        <f>-(SUMIF(C7:AG7,"=年",C8:AG8))</f>
        <v>0</v>
      </c>
      <c r="AJ7" s="193">
        <f>-(SUMIF(C7:AG7,"=调",C8:AG8))</f>
        <v>0</v>
      </c>
      <c r="AK7" s="193">
        <f>-(SUMIF(C7:AG7,"=病",C8:AG8))</f>
        <v>0</v>
      </c>
      <c r="AL7" s="193">
        <f>-(SUMIF(C7:AG7,"=事",C8:AG8))</f>
        <v>0</v>
      </c>
      <c r="AM7" s="71">
        <f>SUMIF(C4:AG4,"P",C7:AG8)</f>
        <v>0</v>
      </c>
      <c r="AN7" s="57">
        <f>SUMIF(C4:AG4,"S",C7:AG8)</f>
        <v>0</v>
      </c>
      <c r="AO7" s="78">
        <f>SUMIF(C4:AG4,"G",C7:AG8)</f>
        <v>0</v>
      </c>
      <c r="AP7" s="167">
        <f>AI7+'2026-09'!AP7</f>
        <v>68</v>
      </c>
      <c r="AQ7" s="195"/>
    </row>
    <row r="8" spans="1:43" s="1" customFormat="1" ht="15.95" customHeight="1">
      <c r="A8" s="185"/>
      <c r="B8" s="186"/>
      <c r="C8" s="38"/>
      <c r="D8" s="38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88"/>
      <c r="AH8" s="181"/>
      <c r="AI8" s="180"/>
      <c r="AJ8" s="194"/>
      <c r="AK8" s="194"/>
      <c r="AL8" s="194"/>
      <c r="AM8" s="190" t="str">
        <f>IF(SUM(C7:AG7)-AJ7=0,"√",SUM(C7:AG7)-AJ7)</f>
        <v>√</v>
      </c>
      <c r="AN8" s="191"/>
      <c r="AO8" s="192"/>
      <c r="AP8" s="168"/>
      <c r="AQ8" s="196"/>
    </row>
    <row r="9" spans="1:43" s="1" customFormat="1" ht="15.95" customHeight="1">
      <c r="A9" s="182">
        <v>3</v>
      </c>
      <c r="B9" s="183" t="s">
        <v>4</v>
      </c>
      <c r="C9" s="37"/>
      <c r="D9" s="37"/>
      <c r="E9" s="9"/>
      <c r="F9" s="9"/>
      <c r="G9" s="184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37"/>
      <c r="AF9" s="37"/>
      <c r="AG9" s="131"/>
      <c r="AH9" s="181" cm="1">
        <f t="array" ref="AH9" xml:space="preserve"> -SUMPRODUCT((C9:AG9&lt;&gt;"年") * (C9:AG9&lt;&gt;"调") * (C9:AG9&lt;&gt;"病") * (C9:AG9&lt;&gt;"事") * C10:AG10)</f>
        <v>0</v>
      </c>
      <c r="AI9" s="164">
        <f>-(SUMIF(C9:AG9,"=年",C10:AG10))</f>
        <v>0</v>
      </c>
      <c r="AJ9" s="166">
        <f>-(SUMIF(C9:AG9,"=调",C10:AG10))</f>
        <v>0</v>
      </c>
      <c r="AK9" s="166">
        <f>-(SUMIF(C9:AG9,"=病",C10:AG10))</f>
        <v>0</v>
      </c>
      <c r="AL9" s="166">
        <f>-(SUMIF(C9:AG9,"=事",C10:AG10))</f>
        <v>0</v>
      </c>
      <c r="AM9" s="72">
        <f>SUMIF(C4:AG4,"P",C9:AG10)</f>
        <v>0</v>
      </c>
      <c r="AN9" s="68">
        <f>SUMIF(C4:AG4,"S",C9:AG10)</f>
        <v>0</v>
      </c>
      <c r="AO9" s="79">
        <f>SUMIF(C4:AG4,"G",C9:AG10)</f>
        <v>0</v>
      </c>
      <c r="AP9" s="167">
        <f>AI9+'2026-09'!AP9</f>
        <v>37</v>
      </c>
      <c r="AQ9" s="170"/>
    </row>
    <row r="10" spans="1:43" s="1" customFormat="1" ht="15.95" customHeight="1">
      <c r="A10" s="175"/>
      <c r="B10" s="177"/>
      <c r="C10" s="37"/>
      <c r="D10" s="37"/>
      <c r="E10" s="9"/>
      <c r="F10" s="9"/>
      <c r="G10" s="179"/>
      <c r="H10" s="9"/>
      <c r="I10" s="9"/>
      <c r="J10" s="9"/>
      <c r="K10" s="9"/>
      <c r="L10" s="9"/>
      <c r="M10" s="9"/>
      <c r="N10" s="9"/>
      <c r="O10" s="6"/>
      <c r="P10" s="10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131"/>
      <c r="AH10" s="181"/>
      <c r="AI10" s="164"/>
      <c r="AJ10" s="166"/>
      <c r="AK10" s="166"/>
      <c r="AL10" s="166"/>
      <c r="AM10" s="190" t="str">
        <f>IF(SUM(C9:AG9)-AJ9=0,"√",SUM(C9:AG9)-AJ9)</f>
        <v>√</v>
      </c>
      <c r="AN10" s="191"/>
      <c r="AO10" s="192"/>
      <c r="AP10" s="168"/>
      <c r="AQ10" s="170"/>
    </row>
    <row r="11" spans="1:43" s="1" customFormat="1" ht="15.95" customHeight="1">
      <c r="A11" s="185">
        <v>4</v>
      </c>
      <c r="B11" s="186" t="s">
        <v>5</v>
      </c>
      <c r="C11" s="11"/>
      <c r="D11" s="197"/>
      <c r="E11" s="197"/>
      <c r="F11" s="197"/>
      <c r="G11" s="197"/>
      <c r="H11" s="197"/>
      <c r="I11" s="197"/>
      <c r="J11" s="197"/>
      <c r="K11" s="197"/>
      <c r="L11" s="197"/>
      <c r="M11" s="197"/>
      <c r="N11" s="197"/>
      <c r="O11" s="199"/>
      <c r="P11" s="199"/>
      <c r="Q11" s="197"/>
      <c r="R11" s="197"/>
      <c r="S11" s="197"/>
      <c r="T11" s="197"/>
      <c r="U11" s="197"/>
      <c r="V11" s="197"/>
      <c r="W11" s="197"/>
      <c r="X11" s="197"/>
      <c r="Y11" s="197"/>
      <c r="Z11" s="197"/>
      <c r="AA11" s="197"/>
      <c r="AB11" s="197"/>
      <c r="AC11" s="197"/>
      <c r="AD11" s="197"/>
      <c r="AE11" s="197"/>
      <c r="AF11" s="197"/>
      <c r="AG11" s="187"/>
      <c r="AH11" s="181" cm="1">
        <f t="array" ref="AH11" xml:space="preserve"> -SUMPRODUCT((C11:AG11&lt;&gt;"年") * (C11:AG11&lt;&gt;"调") * (C11:AG11&lt;&gt;"病") * (C11:AG11&lt;&gt;"事") * C12:AG12)</f>
        <v>0</v>
      </c>
      <c r="AI11" s="189">
        <f>-(SUMIF(C11:AG11,"=年",C12:AG12))</f>
        <v>0</v>
      </c>
      <c r="AJ11" s="193">
        <f>-(SUMIF(C11:AG11,"=调",C12:AG12))</f>
        <v>0</v>
      </c>
      <c r="AK11" s="193">
        <f>-(SUMIF(C11:AG11,"=病",C12:AG12))</f>
        <v>0</v>
      </c>
      <c r="AL11" s="193">
        <f>-(SUMIF(C11:AG11,"=事",C12:AG12))</f>
        <v>0</v>
      </c>
      <c r="AM11" s="71">
        <f>SUMIF(C4:AG4,"P",C11:AG12)</f>
        <v>0</v>
      </c>
      <c r="AN11" s="46">
        <f>SUMIF(C4:AG4,"S",C11:AG12)</f>
        <v>0</v>
      </c>
      <c r="AO11" s="78">
        <f>SUMIF(C4:AG4,"G",C11:AG12)</f>
        <v>0</v>
      </c>
      <c r="AP11" s="167">
        <f>AI11+'2026-09'!AP11</f>
        <v>6</v>
      </c>
      <c r="AQ11" s="195"/>
    </row>
    <row r="12" spans="1:43" s="1" customFormat="1" ht="15.95" customHeight="1">
      <c r="A12" s="185"/>
      <c r="B12" s="186"/>
      <c r="C12" s="15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79"/>
      <c r="P12" s="179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88"/>
      <c r="AH12" s="181"/>
      <c r="AI12" s="180"/>
      <c r="AJ12" s="194"/>
      <c r="AK12" s="194"/>
      <c r="AL12" s="194"/>
      <c r="AM12" s="190" t="str">
        <f>IF(SUM(C11:AG11)-AJ11=0,"√",SUM(C11:AG11)-AJ11)</f>
        <v>√</v>
      </c>
      <c r="AN12" s="191"/>
      <c r="AO12" s="200"/>
      <c r="AP12" s="168"/>
      <c r="AQ12" s="196"/>
    </row>
    <row r="13" spans="1:43" s="1" customFormat="1" ht="15.95" customHeight="1">
      <c r="A13" s="182">
        <v>5</v>
      </c>
      <c r="B13" s="183" t="s">
        <v>6</v>
      </c>
      <c r="C13" s="11"/>
      <c r="D13" s="11"/>
      <c r="E13" s="197"/>
      <c r="F13" s="197"/>
      <c r="G13" s="197"/>
      <c r="H13" s="197"/>
      <c r="I13" s="197"/>
      <c r="J13" s="11"/>
      <c r="K13" s="11"/>
      <c r="L13" s="11"/>
      <c r="M13" s="197"/>
      <c r="N13" s="197"/>
      <c r="O13" s="199"/>
      <c r="P13" s="199"/>
      <c r="Q13" s="11"/>
      <c r="R13" s="11"/>
      <c r="S13" s="11"/>
      <c r="T13" s="11"/>
      <c r="U13" s="199"/>
      <c r="V13" s="199"/>
      <c r="W13" s="199"/>
      <c r="X13" s="11"/>
      <c r="Y13" s="11"/>
      <c r="Z13" s="11"/>
      <c r="AA13" s="197"/>
      <c r="AB13" s="197"/>
      <c r="AC13" s="18"/>
      <c r="AD13" s="197"/>
      <c r="AE13" s="11"/>
      <c r="AF13" s="11"/>
      <c r="AG13" s="187"/>
      <c r="AH13" s="181" cm="1">
        <f t="array" ref="AH13" xml:space="preserve"> -SUMPRODUCT((C13:AG13&lt;&gt;"年") * (C13:AG13&lt;&gt;"调") * (C13:AG13&lt;&gt;"病") * (C13:AG13&lt;&gt;"事") * C14:AG14)</f>
        <v>0</v>
      </c>
      <c r="AI13" s="164">
        <f>-(SUMIF(C13:AG13,"=年",C14:AG14))</f>
        <v>0</v>
      </c>
      <c r="AJ13" s="166">
        <f>-(SUMIF(C13:AG13,"=调",C14:AG14))</f>
        <v>0</v>
      </c>
      <c r="AK13" s="166">
        <f>-(SUMIF(C13:AG13,"=病",C14:AG14))</f>
        <v>0</v>
      </c>
      <c r="AL13" s="166">
        <f>-(SUMIF(C13:AG13,"=事",C14:AG14))</f>
        <v>0</v>
      </c>
      <c r="AM13" s="72">
        <f>SUMIF(C4:AG4,"P",C13:AG14)</f>
        <v>0</v>
      </c>
      <c r="AN13" s="68">
        <f>SUMIF(C4:AG4,"S",C13:AG14)</f>
        <v>0</v>
      </c>
      <c r="AO13" s="79">
        <f>SUMIF(C4:AG4,"G",C13:AG14)</f>
        <v>0</v>
      </c>
      <c r="AP13" s="167">
        <f>AI13+'2026-09'!AP13</f>
        <v>21.5</v>
      </c>
      <c r="AQ13" s="201"/>
    </row>
    <row r="14" spans="1:43" s="1" customFormat="1" ht="15.95" customHeight="1">
      <c r="A14" s="175"/>
      <c r="B14" s="177"/>
      <c r="C14" s="15"/>
      <c r="D14" s="15"/>
      <c r="E14" s="198"/>
      <c r="F14" s="198"/>
      <c r="G14" s="198"/>
      <c r="H14" s="198"/>
      <c r="I14" s="198"/>
      <c r="J14" s="15"/>
      <c r="K14" s="15"/>
      <c r="L14" s="15"/>
      <c r="M14" s="198"/>
      <c r="N14" s="198"/>
      <c r="O14" s="179"/>
      <c r="P14" s="179"/>
      <c r="Q14" s="15"/>
      <c r="R14" s="15"/>
      <c r="S14" s="15"/>
      <c r="T14" s="15"/>
      <c r="U14" s="179"/>
      <c r="V14" s="179"/>
      <c r="W14" s="179"/>
      <c r="X14" s="15"/>
      <c r="Y14" s="15"/>
      <c r="Z14" s="15"/>
      <c r="AA14" s="198"/>
      <c r="AB14" s="198"/>
      <c r="AC14" s="50"/>
      <c r="AD14" s="198"/>
      <c r="AE14" s="15"/>
      <c r="AF14" s="15"/>
      <c r="AG14" s="188"/>
      <c r="AH14" s="181"/>
      <c r="AI14" s="164"/>
      <c r="AJ14" s="166"/>
      <c r="AK14" s="166"/>
      <c r="AL14" s="166"/>
      <c r="AM14" s="171" t="str">
        <f>IF(SUM(C13:AG13)-AJ13=0,"√",SUM(C13:AG13)-AJ13)</f>
        <v>√</v>
      </c>
      <c r="AN14" s="172"/>
      <c r="AO14" s="173"/>
      <c r="AP14" s="168"/>
      <c r="AQ14" s="201"/>
    </row>
    <row r="15" spans="1:43" s="1" customFormat="1" ht="15.95" customHeight="1">
      <c r="A15" s="185">
        <v>6</v>
      </c>
      <c r="B15" s="186" t="s">
        <v>7</v>
      </c>
      <c r="C15" s="197"/>
      <c r="D15" s="197"/>
      <c r="E15" s="197"/>
      <c r="F15" s="197"/>
      <c r="G15" s="197"/>
      <c r="H15" s="197"/>
      <c r="I15" s="197"/>
      <c r="J15" s="197"/>
      <c r="K15" s="197"/>
      <c r="L15" s="197"/>
      <c r="M15" s="197"/>
      <c r="N15" s="197"/>
      <c r="O15" s="199"/>
      <c r="P15" s="199"/>
      <c r="Q15" s="197"/>
      <c r="R15" s="197"/>
      <c r="S15" s="197"/>
      <c r="T15" s="197"/>
      <c r="U15" s="197"/>
      <c r="V15" s="204"/>
      <c r="W15" s="197"/>
      <c r="X15" s="197"/>
      <c r="Y15" s="197"/>
      <c r="Z15" s="197"/>
      <c r="AA15" s="197"/>
      <c r="AB15" s="197"/>
      <c r="AC15" s="197"/>
      <c r="AD15" s="197"/>
      <c r="AE15" s="197"/>
      <c r="AF15" s="197"/>
      <c r="AG15" s="187"/>
      <c r="AH15" s="181" cm="1">
        <f t="array" ref="AH15" xml:space="preserve"> -SUMPRODUCT((C15:AG15&lt;&gt;"年") * (C15:AG15&lt;&gt;"调") * (C15:AG15&lt;&gt;"病") * (C15:AG15&lt;&gt;"事") * C16:AG16)</f>
        <v>0</v>
      </c>
      <c r="AI15" s="189">
        <f>-(SUMIF(C15:AG15,"=年",C16:AG16))</f>
        <v>0</v>
      </c>
      <c r="AJ15" s="193">
        <f>-(SUMIF(C15:AG15,"=调",C16:AG16))</f>
        <v>0</v>
      </c>
      <c r="AK15" s="193">
        <f>-(SUMIF(C15:AG15,"=病",C16:AG16))</f>
        <v>0</v>
      </c>
      <c r="AL15" s="193">
        <f>-(SUMIF(C15:AG15,"=事",C16:AG16))</f>
        <v>0</v>
      </c>
      <c r="AM15" s="71">
        <f>SUMIF(C4:AG4,"P",C15:AG16)</f>
        <v>0</v>
      </c>
      <c r="AN15" s="46">
        <f>SUMIF(C4:AG4,"S",C15:AG16)</f>
        <v>0</v>
      </c>
      <c r="AO15" s="78">
        <f>SUMIF(C4:AG4,"G",C15:AG16)</f>
        <v>0</v>
      </c>
      <c r="AP15" s="167">
        <f>AI15+'2026-09'!AP15</f>
        <v>15</v>
      </c>
      <c r="AQ15" s="202"/>
    </row>
    <row r="16" spans="1:43" s="1" customFormat="1" ht="15.95" customHeight="1">
      <c r="A16" s="185"/>
      <c r="B16" s="186"/>
      <c r="C16" s="198"/>
      <c r="D16" s="198"/>
      <c r="E16" s="198"/>
      <c r="F16" s="198"/>
      <c r="G16" s="198"/>
      <c r="H16" s="198"/>
      <c r="I16" s="198"/>
      <c r="J16" s="198"/>
      <c r="K16" s="198"/>
      <c r="L16" s="198"/>
      <c r="M16" s="198"/>
      <c r="N16" s="198"/>
      <c r="O16" s="179"/>
      <c r="P16" s="179"/>
      <c r="Q16" s="198"/>
      <c r="R16" s="198"/>
      <c r="S16" s="198"/>
      <c r="T16" s="198"/>
      <c r="U16" s="198"/>
      <c r="V16" s="179"/>
      <c r="W16" s="198"/>
      <c r="X16" s="198"/>
      <c r="Y16" s="198"/>
      <c r="Z16" s="198"/>
      <c r="AA16" s="198"/>
      <c r="AB16" s="198"/>
      <c r="AC16" s="198"/>
      <c r="AD16" s="198"/>
      <c r="AE16" s="198"/>
      <c r="AF16" s="198"/>
      <c r="AG16" s="188"/>
      <c r="AH16" s="181"/>
      <c r="AI16" s="180"/>
      <c r="AJ16" s="194"/>
      <c r="AK16" s="194"/>
      <c r="AL16" s="194"/>
      <c r="AM16" s="190" t="str">
        <f>IF(SUM(C15:AG15)-AJ15=0,"√",SUM(C15:AG15)-AJ15)</f>
        <v>√</v>
      </c>
      <c r="AN16" s="191"/>
      <c r="AO16" s="200"/>
      <c r="AP16" s="168"/>
      <c r="AQ16" s="203"/>
    </row>
    <row r="17" spans="1:43" s="1" customFormat="1" ht="15.95" customHeight="1">
      <c r="A17" s="182">
        <v>7</v>
      </c>
      <c r="B17" s="183" t="s">
        <v>8</v>
      </c>
      <c r="C17" s="37"/>
      <c r="D17" s="37"/>
      <c r="E17" s="9"/>
      <c r="F17" s="9"/>
      <c r="G17" s="37"/>
      <c r="H17" s="9"/>
      <c r="I17" s="9"/>
      <c r="J17" s="9"/>
      <c r="K17" s="9"/>
      <c r="L17" s="9"/>
      <c r="M17" s="9"/>
      <c r="N17" s="9"/>
      <c r="O17" s="8"/>
      <c r="P17" s="9"/>
      <c r="Q17" s="9"/>
      <c r="R17" s="37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131"/>
      <c r="AH17" s="181" cm="1">
        <f t="array" ref="AH17" xml:space="preserve"> -SUMPRODUCT((C17:AG17&lt;&gt;"年") * (C17:AG17&lt;&gt;"调") * (C17:AG17&lt;&gt;"病") * (C17:AG17&lt;&gt;"事") * C18:AG18)</f>
        <v>0</v>
      </c>
      <c r="AI17" s="164">
        <f>-(SUMIF(C17:AG17,"=年",C18:AG18))</f>
        <v>0</v>
      </c>
      <c r="AJ17" s="166">
        <f>-(SUMIF(C17:AG17,"=调",C18:AG18))</f>
        <v>0</v>
      </c>
      <c r="AK17" s="166">
        <f>-(SUMIF(C17:AG17,"=病",C18:AG18))</f>
        <v>0</v>
      </c>
      <c r="AL17" s="166">
        <f>-(SUMIF(C17:AG17,"=事",C18:AG18))</f>
        <v>0</v>
      </c>
      <c r="AM17" s="72">
        <f>SUMIF(C4:AG4,"P",C17:AG18)</f>
        <v>0</v>
      </c>
      <c r="AN17" s="68">
        <f>SUMIF(C4:AG4,"S",C17:AG18)</f>
        <v>0</v>
      </c>
      <c r="AO17" s="79">
        <f>SUMIF(C4:AG4,"G",C17:AG18)</f>
        <v>0</v>
      </c>
      <c r="AP17" s="167">
        <f>AI17+'2026-09'!AP17</f>
        <v>33</v>
      </c>
      <c r="AQ17" s="170"/>
    </row>
    <row r="18" spans="1:43" s="1" customFormat="1" ht="15.95" customHeight="1">
      <c r="A18" s="175"/>
      <c r="B18" s="177"/>
      <c r="C18" s="37"/>
      <c r="D18" s="37"/>
      <c r="E18" s="9"/>
      <c r="F18" s="9"/>
      <c r="G18" s="9"/>
      <c r="H18" s="9"/>
      <c r="I18" s="9"/>
      <c r="J18" s="9"/>
      <c r="K18" s="9"/>
      <c r="L18" s="9"/>
      <c r="M18" s="9"/>
      <c r="N18" s="9"/>
      <c r="O18" s="6"/>
      <c r="P18" s="10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131"/>
      <c r="AH18" s="181"/>
      <c r="AI18" s="164"/>
      <c r="AJ18" s="166"/>
      <c r="AK18" s="166"/>
      <c r="AL18" s="166"/>
      <c r="AM18" s="171" t="str">
        <f>IF(SUM(C17:AG17)-AJ17=0,"√",SUM(C17:AG17)-AJ17)</f>
        <v>√</v>
      </c>
      <c r="AN18" s="172"/>
      <c r="AO18" s="173"/>
      <c r="AP18" s="168"/>
      <c r="AQ18" s="170"/>
    </row>
    <row r="19" spans="1:43" s="1" customFormat="1" ht="15.95" customHeight="1">
      <c r="A19" s="185">
        <v>8</v>
      </c>
      <c r="B19" s="186" t="s">
        <v>9</v>
      </c>
      <c r="C19" s="197"/>
      <c r="D19" s="197"/>
      <c r="E19" s="197"/>
      <c r="F19" s="197"/>
      <c r="G19" s="197"/>
      <c r="H19" s="197"/>
      <c r="I19" s="18"/>
      <c r="J19" s="197"/>
      <c r="K19" s="197"/>
      <c r="L19" s="11"/>
      <c r="M19" s="197"/>
      <c r="N19" s="197"/>
      <c r="O19" s="199"/>
      <c r="P19" s="199"/>
      <c r="Q19" s="197"/>
      <c r="R19" s="197"/>
      <c r="S19" s="197"/>
      <c r="T19" s="197"/>
      <c r="U19" s="197"/>
      <c r="V19" s="18"/>
      <c r="W19" s="197"/>
      <c r="X19" s="197"/>
      <c r="Y19" s="197"/>
      <c r="Z19" s="197"/>
      <c r="AA19" s="197"/>
      <c r="AB19" s="197"/>
      <c r="AC19" s="197"/>
      <c r="AD19" s="197"/>
      <c r="AE19" s="197"/>
      <c r="AF19" s="197"/>
      <c r="AG19" s="187"/>
      <c r="AH19" s="181" cm="1">
        <f t="array" ref="AH19" xml:space="preserve"> -SUMPRODUCT((C19:AG19&lt;&gt;"年") * (C19:AG19&lt;&gt;"调") * (C19:AG19&lt;&gt;"病") * (C19:AG19&lt;&gt;"事") * C20:AG20)</f>
        <v>0</v>
      </c>
      <c r="AI19" s="189">
        <f>-(SUMIF(C19:AG19,"=年",C20:AG20))</f>
        <v>0</v>
      </c>
      <c r="AJ19" s="193">
        <f>-(SUMIF(C19:AG19,"=调",C20:AG20))</f>
        <v>0</v>
      </c>
      <c r="AK19" s="193">
        <f>-(SUMIF(C19:AG19,"=病",C20:AG20))</f>
        <v>0</v>
      </c>
      <c r="AL19" s="193">
        <f>-(SUMIF(C19:AG19,"=事",C20:AG20))</f>
        <v>0</v>
      </c>
      <c r="AM19" s="71">
        <f>SUMIF(C4:AG4,"P",C19:AG20)</f>
        <v>0</v>
      </c>
      <c r="AN19" s="46">
        <f>SUMIF(C4:AG4,"S",C19:AG20)</f>
        <v>0</v>
      </c>
      <c r="AO19" s="78">
        <f>SUMIF(C4:AG4,"G",C19:AG20)</f>
        <v>0</v>
      </c>
      <c r="AP19" s="167">
        <f>AI19+'2026-09'!AP19</f>
        <v>42.5</v>
      </c>
      <c r="AQ19" s="205"/>
    </row>
    <row r="20" spans="1:43" s="1" customFormat="1" ht="15.95" customHeight="1">
      <c r="A20" s="185"/>
      <c r="B20" s="186"/>
      <c r="C20" s="198"/>
      <c r="D20" s="198"/>
      <c r="E20" s="198"/>
      <c r="F20" s="198"/>
      <c r="G20" s="198"/>
      <c r="H20" s="198"/>
      <c r="I20" s="50"/>
      <c r="J20" s="198"/>
      <c r="K20" s="198"/>
      <c r="L20" s="15"/>
      <c r="M20" s="198"/>
      <c r="N20" s="198"/>
      <c r="O20" s="179"/>
      <c r="P20" s="179"/>
      <c r="Q20" s="198"/>
      <c r="R20" s="198"/>
      <c r="S20" s="198"/>
      <c r="T20" s="198"/>
      <c r="U20" s="198"/>
      <c r="V20" s="50"/>
      <c r="W20" s="198"/>
      <c r="X20" s="198"/>
      <c r="Y20" s="198"/>
      <c r="Z20" s="198"/>
      <c r="AA20" s="198"/>
      <c r="AB20" s="198"/>
      <c r="AC20" s="198"/>
      <c r="AD20" s="198"/>
      <c r="AE20" s="198"/>
      <c r="AF20" s="198"/>
      <c r="AG20" s="188"/>
      <c r="AH20" s="181"/>
      <c r="AI20" s="180"/>
      <c r="AJ20" s="194"/>
      <c r="AK20" s="194"/>
      <c r="AL20" s="194"/>
      <c r="AM20" s="190" t="str">
        <f>IF(SUM(C19:AG19)-AJ19=0,"√",SUM(C19:AG19)-AJ19)</f>
        <v>√</v>
      </c>
      <c r="AN20" s="191"/>
      <c r="AO20" s="200"/>
      <c r="AP20" s="168"/>
      <c r="AQ20" s="206"/>
    </row>
    <row r="21" spans="1:43" s="1" customFormat="1" ht="15.95" customHeight="1">
      <c r="A21" s="182">
        <v>9</v>
      </c>
      <c r="B21" s="183" t="s">
        <v>11</v>
      </c>
      <c r="C21" s="18"/>
      <c r="D21" s="197"/>
      <c r="E21" s="11"/>
      <c r="F21" s="197"/>
      <c r="G21" s="197"/>
      <c r="H21" s="197"/>
      <c r="I21" s="197"/>
      <c r="J21" s="197"/>
      <c r="K21" s="197"/>
      <c r="L21" s="197"/>
      <c r="M21" s="197"/>
      <c r="N21" s="197"/>
      <c r="O21" s="54"/>
      <c r="P21" s="54"/>
      <c r="Q21" s="54"/>
      <c r="R21" s="197"/>
      <c r="S21" s="197"/>
      <c r="T21" s="197"/>
      <c r="U21" s="197"/>
      <c r="V21" s="199"/>
      <c r="W21" s="197"/>
      <c r="X21" s="197"/>
      <c r="Y21" s="197"/>
      <c r="Z21" s="197"/>
      <c r="AA21" s="197"/>
      <c r="AB21" s="197"/>
      <c r="AC21" s="197"/>
      <c r="AD21" s="18"/>
      <c r="AE21" s="197"/>
      <c r="AF21" s="197"/>
      <c r="AG21" s="187"/>
      <c r="AH21" s="181" cm="1">
        <f t="array" ref="AH21" xml:space="preserve"> -SUMPRODUCT((C21:AG21&lt;&gt;"年") * (C21:AG21&lt;&gt;"调") * (C21:AG21&lt;&gt;"病") * (C21:AG21&lt;&gt;"事") * C22:AG22)</f>
        <v>0</v>
      </c>
      <c r="AI21" s="164">
        <f>-(SUMIF(C21:AG21,"=年",C22:AG22))</f>
        <v>0</v>
      </c>
      <c r="AJ21" s="166">
        <f>-(SUMIF(C21:AG21,"=调",C22:AG22))</f>
        <v>0</v>
      </c>
      <c r="AK21" s="166">
        <f>-(SUMIF(C21:AG21,"=病",C22:AG22))</f>
        <v>0</v>
      </c>
      <c r="AL21" s="166">
        <f>-(SUMIF(C21:AG21,"=事",C22:AG22))</f>
        <v>0</v>
      </c>
      <c r="AM21" s="72">
        <f>SUMIF(C4:AG4,"P",C21:AG22)</f>
        <v>0</v>
      </c>
      <c r="AN21" s="68">
        <f>SUMIF(C4:AG4,"S",C21:AG22)</f>
        <v>0</v>
      </c>
      <c r="AO21" s="79">
        <f>SUMIF(C4:AG4,"G",C21:AG22)</f>
        <v>0</v>
      </c>
      <c r="AP21" s="167">
        <f>AI21+'2026-09'!AP21</f>
        <v>45</v>
      </c>
      <c r="AQ21" s="201"/>
    </row>
    <row r="22" spans="1:43" s="1" customFormat="1" ht="15.95" customHeight="1">
      <c r="A22" s="175"/>
      <c r="B22" s="177"/>
      <c r="C22" s="50"/>
      <c r="D22" s="198"/>
      <c r="E22" s="15"/>
      <c r="F22" s="198"/>
      <c r="G22" s="198"/>
      <c r="H22" s="198"/>
      <c r="I22" s="198"/>
      <c r="J22" s="198"/>
      <c r="K22" s="198"/>
      <c r="L22" s="198"/>
      <c r="M22" s="198"/>
      <c r="N22" s="198"/>
      <c r="O22" s="17"/>
      <c r="P22" s="17"/>
      <c r="Q22" s="17"/>
      <c r="R22" s="198"/>
      <c r="S22" s="198"/>
      <c r="T22" s="198"/>
      <c r="U22" s="198"/>
      <c r="V22" s="179"/>
      <c r="W22" s="198"/>
      <c r="X22" s="198"/>
      <c r="Y22" s="198"/>
      <c r="Z22" s="198"/>
      <c r="AA22" s="198"/>
      <c r="AB22" s="198"/>
      <c r="AC22" s="198"/>
      <c r="AD22" s="50"/>
      <c r="AE22" s="198"/>
      <c r="AF22" s="198"/>
      <c r="AG22" s="188"/>
      <c r="AH22" s="181"/>
      <c r="AI22" s="164"/>
      <c r="AJ22" s="166"/>
      <c r="AK22" s="166"/>
      <c r="AL22" s="166"/>
      <c r="AM22" s="171" t="str">
        <f>IF(SUM(C21:AG21)-AJ21=0,"√",SUM(C21:AG21)-AJ21)</f>
        <v>√</v>
      </c>
      <c r="AN22" s="172"/>
      <c r="AO22" s="173"/>
      <c r="AP22" s="168"/>
      <c r="AQ22" s="201"/>
    </row>
    <row r="23" spans="1:43" s="1" customFormat="1" ht="15.95" customHeight="1">
      <c r="A23" s="185">
        <v>10</v>
      </c>
      <c r="B23" s="186" t="s">
        <v>12</v>
      </c>
      <c r="C23" s="197"/>
      <c r="D23" s="197"/>
      <c r="E23" s="197"/>
      <c r="F23" s="197"/>
      <c r="G23" s="197"/>
      <c r="H23" s="197"/>
      <c r="I23" s="197"/>
      <c r="J23" s="197"/>
      <c r="K23" s="197"/>
      <c r="L23" s="197"/>
      <c r="M23" s="197"/>
      <c r="N23" s="197"/>
      <c r="O23" s="199"/>
      <c r="P23" s="199"/>
      <c r="Q23" s="197"/>
      <c r="R23" s="197"/>
      <c r="S23" s="197"/>
      <c r="T23" s="197"/>
      <c r="U23" s="197"/>
      <c r="V23" s="184"/>
      <c r="W23" s="184"/>
      <c r="X23" s="197"/>
      <c r="Y23" s="197"/>
      <c r="Z23" s="197"/>
      <c r="AA23" s="197"/>
      <c r="AB23" s="197"/>
      <c r="AC23" s="197"/>
      <c r="AD23" s="197"/>
      <c r="AE23" s="197"/>
      <c r="AF23" s="197"/>
      <c r="AG23" s="187"/>
      <c r="AH23" s="181" cm="1">
        <f t="array" ref="AH23" xml:space="preserve"> -SUMPRODUCT((C23:AG23&lt;&gt;"年") * (C23:AG23&lt;&gt;"调") * (C23:AG23&lt;&gt;"病") * (C23:AG23&lt;&gt;"事") * C24:AG24)</f>
        <v>0</v>
      </c>
      <c r="AI23" s="189">
        <f>-(SUMIF(C23:AG23,"=年",C24:AG24))</f>
        <v>0</v>
      </c>
      <c r="AJ23" s="193">
        <f>-(SUMIF(C23:AG23,"=调",C24:AG24))</f>
        <v>0</v>
      </c>
      <c r="AK23" s="193">
        <f>-(SUMIF(C23:AG23,"=病",C24:AG24))</f>
        <v>0</v>
      </c>
      <c r="AL23" s="193">
        <f>-(SUMIF(C23:AG23,"=事",C24:AG24))</f>
        <v>0</v>
      </c>
      <c r="AM23" s="71">
        <f>SUMIF(C4:AG4,"P",C23:AG24)</f>
        <v>0</v>
      </c>
      <c r="AN23" s="46">
        <f>SUMIF(C4:AG4,"S",C23:AG24)</f>
        <v>0</v>
      </c>
      <c r="AO23" s="78">
        <f>SUMIF(C4:AG4,"G",C23:AG24)</f>
        <v>0</v>
      </c>
      <c r="AP23" s="167">
        <f>AI23+'2026-09'!AP23</f>
        <v>49</v>
      </c>
      <c r="AQ23" s="195"/>
    </row>
    <row r="24" spans="1:43" s="1" customFormat="1" ht="15.95" customHeight="1">
      <c r="A24" s="185"/>
      <c r="B24" s="186"/>
      <c r="C24" s="198"/>
      <c r="D24" s="198"/>
      <c r="E24" s="198"/>
      <c r="F24" s="198"/>
      <c r="G24" s="198"/>
      <c r="H24" s="198"/>
      <c r="I24" s="198"/>
      <c r="J24" s="198"/>
      <c r="K24" s="198"/>
      <c r="L24" s="198"/>
      <c r="M24" s="198"/>
      <c r="N24" s="198"/>
      <c r="O24" s="179"/>
      <c r="P24" s="179"/>
      <c r="Q24" s="198"/>
      <c r="R24" s="198"/>
      <c r="S24" s="198"/>
      <c r="T24" s="198"/>
      <c r="U24" s="198"/>
      <c r="V24" s="179"/>
      <c r="W24" s="179"/>
      <c r="X24" s="198"/>
      <c r="Y24" s="198"/>
      <c r="Z24" s="198"/>
      <c r="AA24" s="198"/>
      <c r="AB24" s="198"/>
      <c r="AC24" s="198"/>
      <c r="AD24" s="198"/>
      <c r="AE24" s="198"/>
      <c r="AF24" s="198"/>
      <c r="AG24" s="188"/>
      <c r="AH24" s="181"/>
      <c r="AI24" s="180"/>
      <c r="AJ24" s="194"/>
      <c r="AK24" s="194"/>
      <c r="AL24" s="194"/>
      <c r="AM24" s="190" t="str">
        <f>IF(SUM(C23:AG23)-AJ23=0,"√",SUM(C23:AG23)-AJ23)</f>
        <v>√</v>
      </c>
      <c r="AN24" s="191"/>
      <c r="AO24" s="200"/>
      <c r="AP24" s="168"/>
      <c r="AQ24" s="196"/>
    </row>
    <row r="25" spans="1:43" s="1" customFormat="1" ht="15.95" customHeight="1">
      <c r="A25" s="185">
        <v>11</v>
      </c>
      <c r="B25" s="186" t="s">
        <v>14</v>
      </c>
      <c r="C25" s="197"/>
      <c r="D25" s="197"/>
      <c r="E25" s="197"/>
      <c r="F25" s="197"/>
      <c r="G25" s="197"/>
      <c r="H25" s="197"/>
      <c r="I25" s="197"/>
      <c r="J25" s="197"/>
      <c r="K25" s="197"/>
      <c r="L25" s="197"/>
      <c r="M25" s="197"/>
      <c r="N25" s="197"/>
      <c r="O25" s="199"/>
      <c r="P25" s="199"/>
      <c r="Q25" s="197"/>
      <c r="R25" s="197"/>
      <c r="S25" s="197"/>
      <c r="T25" s="197"/>
      <c r="U25" s="197"/>
      <c r="V25" s="199"/>
      <c r="W25" s="54"/>
      <c r="X25" s="197"/>
      <c r="Y25" s="197"/>
      <c r="Z25" s="197"/>
      <c r="AA25" s="197"/>
      <c r="AB25" s="197"/>
      <c r="AC25" s="197"/>
      <c r="AD25" s="197"/>
      <c r="AE25" s="197"/>
      <c r="AF25" s="197"/>
      <c r="AG25" s="187"/>
      <c r="AH25" s="181" cm="1">
        <f t="array" ref="AH25" xml:space="preserve"> -SUMPRODUCT((C25:AG25&lt;&gt;"年") * (C25:AG25&lt;&gt;"调") * (C25:AG25&lt;&gt;"病") * (C25:AG25&lt;&gt;"事") * C26:AG26)</f>
        <v>0</v>
      </c>
      <c r="AI25" s="189">
        <f>-(SUMIF(C25:AG25,"=年",C26:AG26))</f>
        <v>0</v>
      </c>
      <c r="AJ25" s="193">
        <f>-(SUMIF(C25:AG25,"=调",C26:AG26))</f>
        <v>0</v>
      </c>
      <c r="AK25" s="193">
        <f>-(SUMIF(C25:AG25,"=病",C26:AG26))</f>
        <v>0</v>
      </c>
      <c r="AL25" s="193">
        <f>-(SUMIF(C25:AG25,"=事",C26:AG26))</f>
        <v>0</v>
      </c>
      <c r="AM25" s="71">
        <f>SUMIF(C4:AG4,"P",C25:AG26)</f>
        <v>0</v>
      </c>
      <c r="AN25" s="46">
        <f>SUMIF(C4:AG4,"S",C25:AG26)</f>
        <v>0</v>
      </c>
      <c r="AO25" s="78">
        <f>SUMIF(C4:AG4,"G",C25:AG26)</f>
        <v>0</v>
      </c>
      <c r="AP25" s="167">
        <f>AI25+'2026-09'!AP25</f>
        <v>35</v>
      </c>
      <c r="AQ25" s="195"/>
    </row>
    <row r="26" spans="1:43" s="1" customFormat="1" ht="15.95" customHeight="1">
      <c r="A26" s="185"/>
      <c r="B26" s="186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198"/>
      <c r="O26" s="179"/>
      <c r="P26" s="179"/>
      <c r="Q26" s="198"/>
      <c r="R26" s="198"/>
      <c r="S26" s="198"/>
      <c r="T26" s="198"/>
      <c r="U26" s="198"/>
      <c r="V26" s="179"/>
      <c r="W26" s="17"/>
      <c r="X26" s="198"/>
      <c r="Y26" s="198"/>
      <c r="Z26" s="198"/>
      <c r="AA26" s="198"/>
      <c r="AB26" s="198"/>
      <c r="AC26" s="198"/>
      <c r="AD26" s="198"/>
      <c r="AE26" s="198"/>
      <c r="AF26" s="198"/>
      <c r="AG26" s="188"/>
      <c r="AH26" s="181"/>
      <c r="AI26" s="180"/>
      <c r="AJ26" s="194"/>
      <c r="AK26" s="194"/>
      <c r="AL26" s="194"/>
      <c r="AM26" s="190" t="str">
        <f>IF(SUM(C25:AG25)-AJ25=0,"√",SUM(C25:AG25)-AJ25)</f>
        <v>√</v>
      </c>
      <c r="AN26" s="191"/>
      <c r="AO26" s="200"/>
      <c r="AP26" s="168"/>
      <c r="AQ26" s="196"/>
    </row>
    <row r="27" spans="1:43" s="1" customFormat="1" ht="15.95" customHeight="1">
      <c r="A27" s="182">
        <v>12</v>
      </c>
      <c r="B27" s="183" t="s">
        <v>34</v>
      </c>
      <c r="C27" s="37"/>
      <c r="D27" s="37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37"/>
      <c r="W27" s="9"/>
      <c r="X27" s="9"/>
      <c r="Y27" s="9"/>
      <c r="Z27" s="37"/>
      <c r="AA27" s="9"/>
      <c r="AB27" s="9"/>
      <c r="AC27" s="9"/>
      <c r="AD27" s="9"/>
      <c r="AE27" s="9"/>
      <c r="AF27" s="9"/>
      <c r="AG27" s="131"/>
      <c r="AH27" s="181" cm="1">
        <f t="array" ref="AH27" xml:space="preserve"> -SUMPRODUCT((C27:AG27&lt;&gt;"年") * (C27:AG27&lt;&gt;"调") * (C27:AG27&lt;&gt;"病") * (C27:AG27&lt;&gt;"事") * C28:AG28)</f>
        <v>0</v>
      </c>
      <c r="AI27" s="164">
        <f>-(SUMIF(C27:AG27,"=年",C28:AG28))</f>
        <v>0</v>
      </c>
      <c r="AJ27" s="166">
        <f>-(SUMIF(C27:AG27,"=调",C28:AG28))</f>
        <v>0</v>
      </c>
      <c r="AK27" s="166">
        <f>-(SUMIF(C27:AG27,"=病",C28:AG28))</f>
        <v>0</v>
      </c>
      <c r="AL27" s="166">
        <f>-(SUMIF(C27:AG27,"=事",C28:AG28))</f>
        <v>0</v>
      </c>
      <c r="AM27" s="72">
        <f>SUMIF(C4:AG4,"P",C27:AG28)</f>
        <v>0</v>
      </c>
      <c r="AN27" s="68">
        <f>SUMIF(C4:AG4,"S",C27:AG28)-AJ27</f>
        <v>0</v>
      </c>
      <c r="AO27" s="79">
        <f>SUMIF(C4:AG4,"G",C27:AG28)</f>
        <v>0</v>
      </c>
      <c r="AP27" s="167">
        <f>AI27+'2026-09'!AP27</f>
        <v>66.5</v>
      </c>
      <c r="AQ27" s="217"/>
    </row>
    <row r="28" spans="1:43" s="1" customFormat="1" ht="15.95" customHeight="1">
      <c r="A28" s="175"/>
      <c r="B28" s="210"/>
      <c r="C28" s="37"/>
      <c r="D28" s="37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131"/>
      <c r="AH28" s="181"/>
      <c r="AI28" s="164"/>
      <c r="AJ28" s="166"/>
      <c r="AK28" s="166"/>
      <c r="AL28" s="166"/>
      <c r="AM28" s="171" t="str">
        <f>IF(SUM(C27:AG27)-AJ27=0,"√",SUM(C27:AG27)-AJ27)</f>
        <v>√</v>
      </c>
      <c r="AN28" s="172"/>
      <c r="AO28" s="173"/>
      <c r="AP28" s="168"/>
      <c r="AQ28" s="170"/>
    </row>
    <row r="29" spans="1:43" s="1" customFormat="1" ht="15.95" customHeight="1">
      <c r="A29" s="175">
        <v>13</v>
      </c>
      <c r="B29" s="219" t="s">
        <v>56</v>
      </c>
      <c r="C29" s="11"/>
      <c r="D29" s="11"/>
      <c r="E29" s="5"/>
      <c r="F29" s="5"/>
      <c r="G29" s="5"/>
      <c r="H29" s="5"/>
      <c r="I29" s="5"/>
      <c r="J29" s="5"/>
      <c r="K29" s="5"/>
      <c r="L29" s="5"/>
      <c r="M29" s="5"/>
      <c r="N29" s="5"/>
      <c r="O29" s="134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184"/>
      <c r="AE29" s="5"/>
      <c r="AF29" s="5"/>
      <c r="AG29" s="130"/>
      <c r="AH29" s="181" cm="1">
        <f t="array" ref="AH29" xml:space="preserve"> -SUMPRODUCT((C29:AG29&lt;&gt;"年") * (C29:AG29&lt;&gt;"调") * (C29:AG29&lt;&gt;"病") * (C29:AG29&lt;&gt;"事") * C30:AG30)</f>
        <v>0</v>
      </c>
      <c r="AI29" s="189">
        <f>-(SUMIF(C29:AG29,"=年",C30:AG30))</f>
        <v>0</v>
      </c>
      <c r="AJ29" s="193">
        <f>-(SUMIF(C29:AG29,"=调",C30:AG30))</f>
        <v>0</v>
      </c>
      <c r="AK29" s="193">
        <f>-(SUMIF(C29:AG29,"=病",C30:AG30))</f>
        <v>0</v>
      </c>
      <c r="AL29" s="193">
        <f>-(SUMIF(C29:AG29,"=事",C30:AG30))</f>
        <v>0</v>
      </c>
      <c r="AM29" s="71">
        <f>SUMIF(C4:AG4,"P",C29:AG30)</f>
        <v>0</v>
      </c>
      <c r="AN29" s="46">
        <f>SUMIF(C4:AG4,"S",C29:AG30)-AJ29</f>
        <v>0</v>
      </c>
      <c r="AO29" s="56">
        <f>SUMIF(C4:AG4,"G",C29:AG30)</f>
        <v>0</v>
      </c>
      <c r="AP29" s="168">
        <f>AI29+'2026-09'!AP29</f>
        <v>0</v>
      </c>
      <c r="AQ29" s="208"/>
    </row>
    <row r="30" spans="1:43" s="1" customFormat="1" ht="15.95" customHeight="1" thickBot="1">
      <c r="A30" s="218"/>
      <c r="B30" s="220"/>
      <c r="C30" s="39"/>
      <c r="D30" s="39"/>
      <c r="E30" s="7"/>
      <c r="F30" s="7"/>
      <c r="G30" s="7"/>
      <c r="H30" s="7"/>
      <c r="I30" s="7"/>
      <c r="J30" s="7"/>
      <c r="K30" s="7"/>
      <c r="L30" s="7"/>
      <c r="M30" s="7"/>
      <c r="N30" s="7"/>
      <c r="O30" s="135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221"/>
      <c r="AE30" s="7"/>
      <c r="AF30" s="7"/>
      <c r="AG30" s="136"/>
      <c r="AH30" s="222"/>
      <c r="AI30" s="223"/>
      <c r="AJ30" s="211"/>
      <c r="AK30" s="211"/>
      <c r="AL30" s="211"/>
      <c r="AM30" s="213" t="str">
        <f>IF(SUM(C29:AG29)-AJ29=0,"√",SUM(C29:AG29)-AJ29)</f>
        <v>√</v>
      </c>
      <c r="AN30" s="214"/>
      <c r="AO30" s="215"/>
      <c r="AP30" s="212"/>
      <c r="AQ30" s="209"/>
    </row>
    <row r="31" spans="1:43" ht="45.75" customHeight="1">
      <c r="A31" s="216" t="s">
        <v>57</v>
      </c>
      <c r="B31" s="216"/>
      <c r="C31" s="216"/>
      <c r="D31" s="216"/>
      <c r="E31" s="216"/>
      <c r="F31" s="216"/>
      <c r="G31" s="216"/>
      <c r="H31" s="216"/>
      <c r="I31" s="216"/>
      <c r="J31" s="216"/>
      <c r="K31" s="216"/>
      <c r="L31" s="216"/>
      <c r="M31" s="216"/>
      <c r="N31" s="216"/>
      <c r="O31" s="216"/>
      <c r="P31" s="216"/>
      <c r="Q31" s="216"/>
      <c r="R31" s="216"/>
      <c r="S31" s="216"/>
      <c r="T31" s="216"/>
      <c r="U31" s="216"/>
      <c r="V31" s="216"/>
      <c r="W31" s="216"/>
      <c r="X31" s="216"/>
      <c r="Y31" s="216"/>
      <c r="Z31" s="216"/>
      <c r="AA31" s="216"/>
      <c r="AB31" s="216"/>
      <c r="AC31" s="216"/>
      <c r="AD31" s="216"/>
      <c r="AE31" s="216"/>
      <c r="AF31" s="216"/>
      <c r="AG31" s="216"/>
      <c r="AH31" s="216"/>
      <c r="AI31" s="216"/>
      <c r="AJ31" s="216"/>
      <c r="AK31" s="216"/>
      <c r="AL31" s="216"/>
      <c r="AM31" s="216"/>
      <c r="AN31" s="216"/>
      <c r="AO31" s="216"/>
      <c r="AP31" s="216"/>
      <c r="AQ31" s="216"/>
    </row>
    <row r="32" spans="1:43" ht="59.25" customHeight="1">
      <c r="A32" s="207" t="s">
        <v>13</v>
      </c>
      <c r="B32" s="207"/>
      <c r="C32" s="207"/>
      <c r="D32" s="207"/>
      <c r="E32" s="207"/>
      <c r="F32" s="207"/>
      <c r="G32" s="207"/>
      <c r="H32" s="207"/>
      <c r="I32" s="207"/>
      <c r="J32" s="207"/>
      <c r="K32" s="207"/>
      <c r="L32" s="207"/>
      <c r="M32" s="207"/>
      <c r="N32" s="207"/>
      <c r="O32" s="207" t="s">
        <v>23</v>
      </c>
      <c r="P32" s="207"/>
      <c r="Q32" s="207"/>
      <c r="R32" s="207"/>
      <c r="S32" s="207"/>
      <c r="T32" s="207"/>
      <c r="U32" s="207"/>
      <c r="V32" s="207"/>
      <c r="W32" s="207"/>
      <c r="X32" s="207"/>
      <c r="Y32" s="207"/>
      <c r="Z32" s="207"/>
      <c r="AA32" s="207"/>
      <c r="AB32" s="207"/>
      <c r="AC32" s="207"/>
      <c r="AD32" s="207" t="s">
        <v>10</v>
      </c>
      <c r="AE32" s="207"/>
      <c r="AF32" s="207"/>
      <c r="AG32" s="207"/>
      <c r="AH32" s="207"/>
      <c r="AI32" s="207"/>
      <c r="AJ32" s="207"/>
      <c r="AK32" s="207"/>
      <c r="AL32" s="207"/>
      <c r="AM32" s="207"/>
      <c r="AN32" s="207"/>
      <c r="AO32" s="207"/>
      <c r="AP32" s="207"/>
      <c r="AQ32" s="207"/>
    </row>
    <row r="33" spans="1:3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</row>
  </sheetData>
  <mergeCells count="340">
    <mergeCell ref="A31:AQ31"/>
    <mergeCell ref="A32:N32"/>
    <mergeCell ref="O32:AC32"/>
    <mergeCell ref="AD32:AQ32"/>
    <mergeCell ref="AQ29:AQ30"/>
    <mergeCell ref="AL27:AL28"/>
    <mergeCell ref="AP27:AP28"/>
    <mergeCell ref="AQ27:AQ28"/>
    <mergeCell ref="AM28:AO28"/>
    <mergeCell ref="A29:A30"/>
    <mergeCell ref="B29:B30"/>
    <mergeCell ref="AD29:AD30"/>
    <mergeCell ref="AH29:AH30"/>
    <mergeCell ref="AI29:AI30"/>
    <mergeCell ref="AJ29:AJ30"/>
    <mergeCell ref="AK29:AK30"/>
    <mergeCell ref="AL29:AL30"/>
    <mergeCell ref="AP29:AP30"/>
    <mergeCell ref="AM30:AO30"/>
    <mergeCell ref="AL25:AL26"/>
    <mergeCell ref="AP25:AP26"/>
    <mergeCell ref="AQ25:AQ26"/>
    <mergeCell ref="AM26:AO26"/>
    <mergeCell ref="A27:A28"/>
    <mergeCell ref="B27:B28"/>
    <mergeCell ref="AH27:AH28"/>
    <mergeCell ref="AI27:AI28"/>
    <mergeCell ref="AJ27:AJ28"/>
    <mergeCell ref="AK27:AK28"/>
    <mergeCell ref="AF25:AF26"/>
    <mergeCell ref="AG25:AG26"/>
    <mergeCell ref="AH25:AH26"/>
    <mergeCell ref="AI25:AI26"/>
    <mergeCell ref="AJ25:AJ26"/>
    <mergeCell ref="AK25:AK26"/>
    <mergeCell ref="Z25:Z26"/>
    <mergeCell ref="AA25:AA26"/>
    <mergeCell ref="AB25:AB26"/>
    <mergeCell ref="AC25:AC26"/>
    <mergeCell ref="AD25:AD26"/>
    <mergeCell ref="AE25:AE26"/>
    <mergeCell ref="S25:S26"/>
    <mergeCell ref="T25:T26"/>
    <mergeCell ref="U25:U26"/>
    <mergeCell ref="V25:V26"/>
    <mergeCell ref="X25:X26"/>
    <mergeCell ref="Y25:Y26"/>
    <mergeCell ref="M25:M26"/>
    <mergeCell ref="N25:N26"/>
    <mergeCell ref="O25:O26"/>
    <mergeCell ref="P25:P26"/>
    <mergeCell ref="Q25:Q26"/>
    <mergeCell ref="R25:R26"/>
    <mergeCell ref="G25:G26"/>
    <mergeCell ref="H25:H26"/>
    <mergeCell ref="I25:I26"/>
    <mergeCell ref="J25:J26"/>
    <mergeCell ref="K25:K26"/>
    <mergeCell ref="L25:L26"/>
    <mergeCell ref="A25:A26"/>
    <mergeCell ref="B25:B26"/>
    <mergeCell ref="C25:C26"/>
    <mergeCell ref="D25:D26"/>
    <mergeCell ref="E25:E26"/>
    <mergeCell ref="F25:F26"/>
    <mergeCell ref="AJ23:AJ24"/>
    <mergeCell ref="AK23:AK24"/>
    <mergeCell ref="AL23:AL24"/>
    <mergeCell ref="AP23:AP24"/>
    <mergeCell ref="AQ23:AQ24"/>
    <mergeCell ref="AM24:AO24"/>
    <mergeCell ref="AD23:AD24"/>
    <mergeCell ref="AE23:AE24"/>
    <mergeCell ref="AF23:AF24"/>
    <mergeCell ref="AG23:AG24"/>
    <mergeCell ref="AH23:AH24"/>
    <mergeCell ref="AI23:AI24"/>
    <mergeCell ref="X23:X24"/>
    <mergeCell ref="Y23:Y24"/>
    <mergeCell ref="Z23:Z24"/>
    <mergeCell ref="AA23:AA24"/>
    <mergeCell ref="AB23:AB24"/>
    <mergeCell ref="AC23:AC24"/>
    <mergeCell ref="R23:R24"/>
    <mergeCell ref="S23:S24"/>
    <mergeCell ref="T23:T24"/>
    <mergeCell ref="U23:U24"/>
    <mergeCell ref="V23:V24"/>
    <mergeCell ref="W23:W24"/>
    <mergeCell ref="L23:L24"/>
    <mergeCell ref="M23:M24"/>
    <mergeCell ref="N23:N24"/>
    <mergeCell ref="O23:O24"/>
    <mergeCell ref="P23:P24"/>
    <mergeCell ref="Q23:Q24"/>
    <mergeCell ref="F23:F24"/>
    <mergeCell ref="G23:G24"/>
    <mergeCell ref="H23:H24"/>
    <mergeCell ref="I23:I24"/>
    <mergeCell ref="J23:J24"/>
    <mergeCell ref="K23:K24"/>
    <mergeCell ref="AK21:AK22"/>
    <mergeCell ref="AL21:AL22"/>
    <mergeCell ref="AP21:AP22"/>
    <mergeCell ref="AQ21:AQ22"/>
    <mergeCell ref="AM22:AO22"/>
    <mergeCell ref="A23:A24"/>
    <mergeCell ref="B23:B24"/>
    <mergeCell ref="C23:C24"/>
    <mergeCell ref="D23:D24"/>
    <mergeCell ref="E23:E24"/>
    <mergeCell ref="AE21:AE22"/>
    <mergeCell ref="AF21:AF22"/>
    <mergeCell ref="AG21:AG22"/>
    <mergeCell ref="AH21:AH22"/>
    <mergeCell ref="AI21:AI22"/>
    <mergeCell ref="AJ21:AJ22"/>
    <mergeCell ref="X21:X22"/>
    <mergeCell ref="Y21:Y22"/>
    <mergeCell ref="Z21:Z22"/>
    <mergeCell ref="AA21:AA22"/>
    <mergeCell ref="AB21:AB22"/>
    <mergeCell ref="AC21:AC22"/>
    <mergeCell ref="R21:R22"/>
    <mergeCell ref="S21:S22"/>
    <mergeCell ref="T21:T22"/>
    <mergeCell ref="U21:U22"/>
    <mergeCell ref="V21:V22"/>
    <mergeCell ref="W21:W22"/>
    <mergeCell ref="I21:I22"/>
    <mergeCell ref="J21:J22"/>
    <mergeCell ref="K21:K22"/>
    <mergeCell ref="L21:L22"/>
    <mergeCell ref="M21:M22"/>
    <mergeCell ref="N21:N22"/>
    <mergeCell ref="A21:A22"/>
    <mergeCell ref="B21:B22"/>
    <mergeCell ref="D21:D22"/>
    <mergeCell ref="F21:F22"/>
    <mergeCell ref="G21:G22"/>
    <mergeCell ref="H21:H22"/>
    <mergeCell ref="AI19:AI20"/>
    <mergeCell ref="AJ19:AJ20"/>
    <mergeCell ref="AK19:AK20"/>
    <mergeCell ref="W19:W20"/>
    <mergeCell ref="X19:X20"/>
    <mergeCell ref="Y19:Y20"/>
    <mergeCell ref="Z19:Z20"/>
    <mergeCell ref="AA19:AA20"/>
    <mergeCell ref="AB19:AB20"/>
    <mergeCell ref="P19:P20"/>
    <mergeCell ref="Q19:Q20"/>
    <mergeCell ref="R19:R20"/>
    <mergeCell ref="S19:S20"/>
    <mergeCell ref="T19:T20"/>
    <mergeCell ref="U19:U20"/>
    <mergeCell ref="H19:H20"/>
    <mergeCell ref="J19:J20"/>
    <mergeCell ref="K19:K20"/>
    <mergeCell ref="M19:M20"/>
    <mergeCell ref="N19:N20"/>
    <mergeCell ref="O19:O20"/>
    <mergeCell ref="AP17:AP18"/>
    <mergeCell ref="AQ17:AQ18"/>
    <mergeCell ref="AM18:AO18"/>
    <mergeCell ref="A19:A20"/>
    <mergeCell ref="B19:B20"/>
    <mergeCell ref="C19:C20"/>
    <mergeCell ref="D19:D20"/>
    <mergeCell ref="E19:E20"/>
    <mergeCell ref="F19:F20"/>
    <mergeCell ref="G19:G20"/>
    <mergeCell ref="AL19:AL20"/>
    <mergeCell ref="AP19:AP20"/>
    <mergeCell ref="AQ19:AQ20"/>
    <mergeCell ref="AM20:AO20"/>
    <mergeCell ref="AC19:AC20"/>
    <mergeCell ref="AD19:AD20"/>
    <mergeCell ref="AE19:AE20"/>
    <mergeCell ref="AF19:AF20"/>
    <mergeCell ref="AG19:AG20"/>
    <mergeCell ref="AH19:AH20"/>
    <mergeCell ref="AP15:AP16"/>
    <mergeCell ref="AQ15:AQ16"/>
    <mergeCell ref="AM16:AO16"/>
    <mergeCell ref="A17:A18"/>
    <mergeCell ref="B17:B18"/>
    <mergeCell ref="AH17:AH18"/>
    <mergeCell ref="AI17:AI18"/>
    <mergeCell ref="AJ17:AJ18"/>
    <mergeCell ref="AK17:AK18"/>
    <mergeCell ref="AL17:AL18"/>
    <mergeCell ref="AG15:AG16"/>
    <mergeCell ref="AH15:AH16"/>
    <mergeCell ref="AI15:AI16"/>
    <mergeCell ref="AJ15:AJ16"/>
    <mergeCell ref="AK15:AK16"/>
    <mergeCell ref="AL15:AL16"/>
    <mergeCell ref="AA15:AA16"/>
    <mergeCell ref="AB15:AB16"/>
    <mergeCell ref="AC15:AC16"/>
    <mergeCell ref="AD15:AD16"/>
    <mergeCell ref="AE15:AE16"/>
    <mergeCell ref="AF15:AF16"/>
    <mergeCell ref="U15:U16"/>
    <mergeCell ref="V15:V16"/>
    <mergeCell ref="W15:W16"/>
    <mergeCell ref="X15:X16"/>
    <mergeCell ref="Y15:Y16"/>
    <mergeCell ref="Z15:Z16"/>
    <mergeCell ref="O15:O16"/>
    <mergeCell ref="P15:P16"/>
    <mergeCell ref="Q15:Q16"/>
    <mergeCell ref="R15:R16"/>
    <mergeCell ref="S15:S16"/>
    <mergeCell ref="T15:T16"/>
    <mergeCell ref="I15:I16"/>
    <mergeCell ref="J15:J16"/>
    <mergeCell ref="K15:K16"/>
    <mergeCell ref="L15:L16"/>
    <mergeCell ref="M15:M16"/>
    <mergeCell ref="N15:N16"/>
    <mergeCell ref="AQ13:AQ14"/>
    <mergeCell ref="AM14:AO14"/>
    <mergeCell ref="A15:A16"/>
    <mergeCell ref="B15:B16"/>
    <mergeCell ref="C15:C16"/>
    <mergeCell ref="D15:D16"/>
    <mergeCell ref="E15:E16"/>
    <mergeCell ref="F15:F16"/>
    <mergeCell ref="G15:G16"/>
    <mergeCell ref="H15:H16"/>
    <mergeCell ref="AH13:AH14"/>
    <mergeCell ref="AI13:AI14"/>
    <mergeCell ref="AJ13:AJ14"/>
    <mergeCell ref="AK13:AK14"/>
    <mergeCell ref="AL13:AL14"/>
    <mergeCell ref="AP13:AP14"/>
    <mergeCell ref="V13:V14"/>
    <mergeCell ref="W13:W14"/>
    <mergeCell ref="AA13:AA14"/>
    <mergeCell ref="AB13:AB14"/>
    <mergeCell ref="AD13:AD14"/>
    <mergeCell ref="AG13:AG14"/>
    <mergeCell ref="I13:I14"/>
    <mergeCell ref="M13:M14"/>
    <mergeCell ref="N13:N14"/>
    <mergeCell ref="O13:O14"/>
    <mergeCell ref="P13:P14"/>
    <mergeCell ref="U13:U14"/>
    <mergeCell ref="AL11:AL12"/>
    <mergeCell ref="AP11:AP12"/>
    <mergeCell ref="AQ11:AQ12"/>
    <mergeCell ref="AM12:AO12"/>
    <mergeCell ref="A13:A14"/>
    <mergeCell ref="B13:B14"/>
    <mergeCell ref="E13:E14"/>
    <mergeCell ref="F13:F14"/>
    <mergeCell ref="G13:G14"/>
    <mergeCell ref="H13:H14"/>
    <mergeCell ref="AF11:AF12"/>
    <mergeCell ref="AG11:AG12"/>
    <mergeCell ref="AH11:AH12"/>
    <mergeCell ref="AI11:AI12"/>
    <mergeCell ref="AJ11:AJ12"/>
    <mergeCell ref="AK11:AK12"/>
    <mergeCell ref="Z11:Z12"/>
    <mergeCell ref="AA11:AA12"/>
    <mergeCell ref="AB11:AB12"/>
    <mergeCell ref="AC11:AC12"/>
    <mergeCell ref="AD11:AD12"/>
    <mergeCell ref="AE11:AE12"/>
    <mergeCell ref="T11:T12"/>
    <mergeCell ref="U11:U12"/>
    <mergeCell ref="V11:V12"/>
    <mergeCell ref="W11:W12"/>
    <mergeCell ref="X11:X12"/>
    <mergeCell ref="Y11:Y12"/>
    <mergeCell ref="N11:N12"/>
    <mergeCell ref="O11:O12"/>
    <mergeCell ref="P11:P12"/>
    <mergeCell ref="Q11:Q12"/>
    <mergeCell ref="R11:R12"/>
    <mergeCell ref="S11:S12"/>
    <mergeCell ref="H11:H12"/>
    <mergeCell ref="I11:I12"/>
    <mergeCell ref="J11:J12"/>
    <mergeCell ref="K11:K12"/>
    <mergeCell ref="L11:L12"/>
    <mergeCell ref="M11:M12"/>
    <mergeCell ref="A11:A12"/>
    <mergeCell ref="B11:B12"/>
    <mergeCell ref="D11:D12"/>
    <mergeCell ref="E11:E12"/>
    <mergeCell ref="F11:F12"/>
    <mergeCell ref="G11:G12"/>
    <mergeCell ref="AJ9:AJ10"/>
    <mergeCell ref="AK9:AK10"/>
    <mergeCell ref="AL9:AL10"/>
    <mergeCell ref="AP9:AP10"/>
    <mergeCell ref="AQ9:AQ10"/>
    <mergeCell ref="AM10:AO10"/>
    <mergeCell ref="AK7:AK8"/>
    <mergeCell ref="AL7:AL8"/>
    <mergeCell ref="AP7:AP8"/>
    <mergeCell ref="AQ7:AQ8"/>
    <mergeCell ref="AM8:AO8"/>
    <mergeCell ref="AJ7:AJ8"/>
    <mergeCell ref="A9:A10"/>
    <mergeCell ref="B9:B10"/>
    <mergeCell ref="G9:G10"/>
    <mergeCell ref="AH9:AH10"/>
    <mergeCell ref="AI9:AI10"/>
    <mergeCell ref="A7:A8"/>
    <mergeCell ref="B7:B8"/>
    <mergeCell ref="AG7:AG8"/>
    <mergeCell ref="AH7:AH8"/>
    <mergeCell ref="AI7:AI8"/>
    <mergeCell ref="AI5:AI6"/>
    <mergeCell ref="AJ5:AJ6"/>
    <mergeCell ref="AK5:AK6"/>
    <mergeCell ref="AL5:AL6"/>
    <mergeCell ref="AP5:AP6"/>
    <mergeCell ref="AQ5:AQ6"/>
    <mergeCell ref="AM6:AO6"/>
    <mergeCell ref="A5:A6"/>
    <mergeCell ref="B5:B6"/>
    <mergeCell ref="U5:U6"/>
    <mergeCell ref="V5:V6"/>
    <mergeCell ref="W5:W6"/>
    <mergeCell ref="AH5:AH6"/>
    <mergeCell ref="A1:AQ1"/>
    <mergeCell ref="A2:A4"/>
    <mergeCell ref="B2:B4"/>
    <mergeCell ref="C2:AG2"/>
    <mergeCell ref="AH2:AO2"/>
    <mergeCell ref="AP2:AP4"/>
    <mergeCell ref="AQ2:AQ4"/>
    <mergeCell ref="AH3:AL3"/>
    <mergeCell ref="AM3:AO3"/>
  </mergeCells>
  <phoneticPr fontId="8" type="noConversion"/>
  <conditionalFormatting sqref="C3:AG30">
    <cfRule type="expression" dxfId="14" priority="1">
      <formula>C$4="#"</formula>
    </cfRule>
    <cfRule type="expression" dxfId="13" priority="2">
      <formula>C$4="G"</formula>
    </cfRule>
    <cfRule type="expression" dxfId="12" priority="4">
      <formula>C$4="S"</formula>
    </cfRule>
    <cfRule type="expression" dxfId="11" priority="5">
      <formula>C$4="P"</formula>
    </cfRule>
  </conditionalFormatting>
  <conditionalFormatting sqref="D3:D30">
    <cfRule type="expression" dxfId="10" priority="3">
      <formula>$D$4="G"</formula>
    </cfRule>
  </conditionalFormatting>
  <pageMargins left="0.25138888888888899" right="0.25138888888888899" top="0.55486111111111103" bottom="0.55486111111111103" header="0.29861111111111099" footer="0.29861111111111099"/>
  <pageSetup paperSize="9" scale="67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09D21-D6C9-4B9B-B302-3F9D5B0BFECD}">
  <sheetPr>
    <pageSetUpPr fitToPage="1"/>
  </sheetPr>
  <dimension ref="A1:AQ33"/>
  <sheetViews>
    <sheetView zoomScaleNormal="100" workbookViewId="0">
      <pane xSplit="2" ySplit="4" topLeftCell="C5" activePane="bottomRight" state="frozen"/>
      <selection activeCell="C2" sqref="C2:AG2"/>
      <selection pane="topRight" activeCell="C2" sqref="C2:AG2"/>
      <selection pane="bottomLeft" activeCell="C2" sqref="C2:AG2"/>
      <selection pane="bottomRight" activeCell="C2" sqref="C2:AG2"/>
    </sheetView>
  </sheetViews>
  <sheetFormatPr defaultColWidth="9" defaultRowHeight="14.25"/>
  <cols>
    <col min="1" max="1" width="7" customWidth="1"/>
    <col min="2" max="2" width="9" customWidth="1"/>
    <col min="3" max="32" width="4.5" customWidth="1"/>
    <col min="33" max="33" width="2.25" customWidth="1"/>
    <col min="34" max="38" width="4" customWidth="1"/>
    <col min="39" max="41" width="4.375" bestFit="1" customWidth="1"/>
    <col min="42" max="42" width="6.375" customWidth="1"/>
    <col min="43" max="43" width="12" customWidth="1"/>
  </cols>
  <sheetData>
    <row r="1" spans="1:43" ht="69.75" customHeight="1" thickBot="1">
      <c r="A1" s="142" t="s">
        <v>15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  <c r="AD1" s="142"/>
      <c r="AE1" s="142"/>
      <c r="AF1" s="142"/>
      <c r="AG1" s="142"/>
      <c r="AH1" s="142"/>
      <c r="AI1" s="142"/>
      <c r="AJ1" s="142"/>
      <c r="AK1" s="142"/>
      <c r="AL1" s="142"/>
      <c r="AM1" s="142"/>
      <c r="AN1" s="142"/>
      <c r="AO1" s="142"/>
      <c r="AP1" s="142"/>
      <c r="AQ1" s="142"/>
    </row>
    <row r="2" spans="1:43" ht="40.5" customHeight="1">
      <c r="A2" s="143" t="s">
        <v>0</v>
      </c>
      <c r="B2" s="145" t="s">
        <v>1</v>
      </c>
      <c r="C2" s="147" t="str">
        <f>"2026年11月出勤状况(工作日:"&amp;COUNTIF(C4:AG4, "P")&amp;"天)"</f>
        <v>2026年11月出勤状况(工作日:21天)</v>
      </c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9" t="s">
        <v>39</v>
      </c>
      <c r="AI2" s="150"/>
      <c r="AJ2" s="150"/>
      <c r="AK2" s="150"/>
      <c r="AL2" s="150"/>
      <c r="AM2" s="150"/>
      <c r="AN2" s="150"/>
      <c r="AO2" s="151"/>
      <c r="AP2" s="152" t="s">
        <v>16</v>
      </c>
      <c r="AQ2" s="155" t="s">
        <v>24</v>
      </c>
    </row>
    <row r="3" spans="1:43">
      <c r="A3" s="144"/>
      <c r="B3" s="146"/>
      <c r="C3" s="51">
        <v>1</v>
      </c>
      <c r="D3" s="51">
        <v>2</v>
      </c>
      <c r="E3" s="51">
        <v>3</v>
      </c>
      <c r="F3" s="51">
        <v>4</v>
      </c>
      <c r="G3" s="51">
        <v>5</v>
      </c>
      <c r="H3" s="51">
        <v>6</v>
      </c>
      <c r="I3" s="51">
        <v>7</v>
      </c>
      <c r="J3" s="51">
        <v>8</v>
      </c>
      <c r="K3" s="51">
        <v>9</v>
      </c>
      <c r="L3" s="51">
        <v>10</v>
      </c>
      <c r="M3" s="51">
        <v>11</v>
      </c>
      <c r="N3" s="51">
        <v>12</v>
      </c>
      <c r="O3" s="51">
        <v>13</v>
      </c>
      <c r="P3" s="51">
        <v>14</v>
      </c>
      <c r="Q3" s="51">
        <v>15</v>
      </c>
      <c r="R3" s="51">
        <v>16</v>
      </c>
      <c r="S3" s="51">
        <v>17</v>
      </c>
      <c r="T3" s="51">
        <v>18</v>
      </c>
      <c r="U3" s="51">
        <v>19</v>
      </c>
      <c r="V3" s="51">
        <v>20</v>
      </c>
      <c r="W3" s="51">
        <v>21</v>
      </c>
      <c r="X3" s="51">
        <v>22</v>
      </c>
      <c r="Y3" s="51">
        <v>23</v>
      </c>
      <c r="Z3" s="51">
        <v>24</v>
      </c>
      <c r="AA3" s="51">
        <v>25</v>
      </c>
      <c r="AB3" s="51">
        <v>26</v>
      </c>
      <c r="AC3" s="51">
        <v>27</v>
      </c>
      <c r="AD3" s="51">
        <v>28</v>
      </c>
      <c r="AE3" s="51">
        <v>29</v>
      </c>
      <c r="AF3" s="51">
        <v>30</v>
      </c>
      <c r="AG3" s="51">
        <v>31</v>
      </c>
      <c r="AH3" s="157" t="s">
        <v>43</v>
      </c>
      <c r="AI3" s="158"/>
      <c r="AJ3" s="158"/>
      <c r="AK3" s="158"/>
      <c r="AL3" s="159"/>
      <c r="AM3" s="160" t="s">
        <v>42</v>
      </c>
      <c r="AN3" s="161"/>
      <c r="AO3" s="162"/>
      <c r="AP3" s="153"/>
      <c r="AQ3" s="156"/>
    </row>
    <row r="4" spans="1:43" ht="15" thickBot="1">
      <c r="A4" s="144"/>
      <c r="B4" s="146"/>
      <c r="C4" s="133" t="s">
        <v>30</v>
      </c>
      <c r="D4" s="133" t="s">
        <v>29</v>
      </c>
      <c r="E4" s="133" t="s">
        <v>29</v>
      </c>
      <c r="F4" s="133" t="s">
        <v>29</v>
      </c>
      <c r="G4" s="133" t="s">
        <v>29</v>
      </c>
      <c r="H4" s="133" t="s">
        <v>29</v>
      </c>
      <c r="I4" s="133" t="s">
        <v>30</v>
      </c>
      <c r="J4" s="133" t="s">
        <v>30</v>
      </c>
      <c r="K4" s="133" t="s">
        <v>29</v>
      </c>
      <c r="L4" s="133" t="s">
        <v>29</v>
      </c>
      <c r="M4" s="133" t="s">
        <v>29</v>
      </c>
      <c r="N4" s="133" t="s">
        <v>29</v>
      </c>
      <c r="O4" s="133" t="s">
        <v>29</v>
      </c>
      <c r="P4" s="133" t="s">
        <v>30</v>
      </c>
      <c r="Q4" s="133" t="s">
        <v>30</v>
      </c>
      <c r="R4" s="133" t="s">
        <v>29</v>
      </c>
      <c r="S4" s="133" t="s">
        <v>29</v>
      </c>
      <c r="T4" s="133" t="s">
        <v>29</v>
      </c>
      <c r="U4" s="133" t="s">
        <v>29</v>
      </c>
      <c r="V4" s="133" t="s">
        <v>29</v>
      </c>
      <c r="W4" s="133" t="s">
        <v>30</v>
      </c>
      <c r="X4" s="133" t="s">
        <v>30</v>
      </c>
      <c r="Y4" s="133" t="s">
        <v>29</v>
      </c>
      <c r="Z4" s="133" t="s">
        <v>29</v>
      </c>
      <c r="AA4" s="133" t="s">
        <v>29</v>
      </c>
      <c r="AB4" s="133" t="s">
        <v>29</v>
      </c>
      <c r="AC4" s="133" t="s">
        <v>29</v>
      </c>
      <c r="AD4" s="133" t="s">
        <v>30</v>
      </c>
      <c r="AE4" s="133" t="s">
        <v>30</v>
      </c>
      <c r="AF4" s="133" t="s">
        <v>29</v>
      </c>
      <c r="AG4" s="133" t="s">
        <v>25</v>
      </c>
      <c r="AH4" s="141" t="s">
        <v>62</v>
      </c>
      <c r="AI4" s="138" t="s">
        <v>21</v>
      </c>
      <c r="AJ4" s="139" t="s">
        <v>22</v>
      </c>
      <c r="AK4" s="139" t="s">
        <v>60</v>
      </c>
      <c r="AL4" s="140" t="s">
        <v>63</v>
      </c>
      <c r="AM4" s="138" t="s">
        <v>64</v>
      </c>
      <c r="AN4" s="139" t="s">
        <v>65</v>
      </c>
      <c r="AO4" s="140" t="s">
        <v>66</v>
      </c>
      <c r="AP4" s="154"/>
      <c r="AQ4" s="156"/>
    </row>
    <row r="5" spans="1:43" s="1" customFormat="1" ht="15.95" customHeight="1">
      <c r="A5" s="174">
        <v>1</v>
      </c>
      <c r="B5" s="176" t="s">
        <v>2</v>
      </c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178"/>
      <c r="V5" s="178"/>
      <c r="W5" s="178"/>
      <c r="X5" s="64"/>
      <c r="Y5" s="64"/>
      <c r="Z5" s="64"/>
      <c r="AA5" s="64"/>
      <c r="AB5" s="64"/>
      <c r="AC5" s="64"/>
      <c r="AD5" s="64"/>
      <c r="AE5" s="64"/>
      <c r="AF5" s="64"/>
      <c r="AG5" s="128"/>
      <c r="AH5" s="180" cm="1">
        <f t="array" ref="AH5" xml:space="preserve"> -SUMPRODUCT((C5:AG5&lt;&gt;"年") * (C5:AG5&lt;&gt;"调") * (C5:AG5&lt;&gt;"病") * (C5:AG5&lt;&gt;"事") * C6:AG6)</f>
        <v>0</v>
      </c>
      <c r="AI5" s="163">
        <f>-(SUMIF(C5:AG5,"=年",C6:AG6))</f>
        <v>0</v>
      </c>
      <c r="AJ5" s="165">
        <f>-(SUMIF(C5:AG5,"=调",C6:AG6))</f>
        <v>0</v>
      </c>
      <c r="AK5" s="165">
        <f>-(SUMIF(C5:AG5,"=病",C6:AG6))</f>
        <v>0</v>
      </c>
      <c r="AL5" s="165">
        <f>-(SUMIF(C5:AG5,"=事",C6:AG6))</f>
        <v>0</v>
      </c>
      <c r="AM5" s="70">
        <f>SUMIF(C4:AG4,"P",C5:AG6)</f>
        <v>0</v>
      </c>
      <c r="AN5" s="67">
        <f>SUMIF(C4:AG4,"S",C5:AG6)</f>
        <v>0</v>
      </c>
      <c r="AO5" s="77">
        <f>SUMIF(C4:AG4,"G",C5:AG6)</f>
        <v>0</v>
      </c>
      <c r="AP5" s="167">
        <f>AI5+'2026-10'!AP5</f>
        <v>33.5</v>
      </c>
      <c r="AQ5" s="169"/>
    </row>
    <row r="6" spans="1:43" s="1" customFormat="1" ht="15.95" customHeight="1">
      <c r="A6" s="175"/>
      <c r="B6" s="177"/>
      <c r="C6" s="16"/>
      <c r="D6" s="16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179"/>
      <c r="V6" s="179"/>
      <c r="W6" s="179"/>
      <c r="X6" s="8"/>
      <c r="Y6" s="8"/>
      <c r="Z6" s="8"/>
      <c r="AA6" s="8"/>
      <c r="AB6" s="8"/>
      <c r="AC6" s="8"/>
      <c r="AD6" s="8"/>
      <c r="AE6" s="8"/>
      <c r="AF6" s="8"/>
      <c r="AG6" s="129"/>
      <c r="AH6" s="181"/>
      <c r="AI6" s="164"/>
      <c r="AJ6" s="166"/>
      <c r="AK6" s="166"/>
      <c r="AL6" s="166"/>
      <c r="AM6" s="171" t="str">
        <f>IF(SUM(C5:AG5)-AJ5=0,"√",SUM(C5:AG5)-AJ5)</f>
        <v>√</v>
      </c>
      <c r="AN6" s="172"/>
      <c r="AO6" s="173"/>
      <c r="AP6" s="168"/>
      <c r="AQ6" s="170"/>
    </row>
    <row r="7" spans="1:43" s="1" customFormat="1" ht="15.95" customHeight="1">
      <c r="A7" s="185">
        <v>2</v>
      </c>
      <c r="B7" s="186" t="s">
        <v>3</v>
      </c>
      <c r="C7" s="14"/>
      <c r="D7" s="14"/>
      <c r="E7" s="12"/>
      <c r="F7" s="12"/>
      <c r="G7" s="12"/>
      <c r="H7" s="12"/>
      <c r="I7" s="12"/>
      <c r="J7" s="14"/>
      <c r="K7" s="14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4"/>
      <c r="AF7" s="12"/>
      <c r="AG7" s="187"/>
      <c r="AH7" s="181" cm="1">
        <f t="array" ref="AH7" xml:space="preserve"> -SUMPRODUCT((C7:AG7&lt;&gt;"年") * (C7:AG7&lt;&gt;"调") * (C7:AG7&lt;&gt;"病") * (C7:AG7&lt;&gt;"事") * C8:AG8)</f>
        <v>0</v>
      </c>
      <c r="AI7" s="189">
        <f>-(SUMIF(C7:AG7,"=年",C8:AG8))</f>
        <v>0</v>
      </c>
      <c r="AJ7" s="193">
        <f>-(SUMIF(C7:AG7,"=调",C8:AG8))</f>
        <v>0</v>
      </c>
      <c r="AK7" s="193">
        <f>-(SUMIF(C7:AG7,"=病",C8:AG8))</f>
        <v>0</v>
      </c>
      <c r="AL7" s="193">
        <f>-(SUMIF(C7:AG7,"=事",C8:AG8))</f>
        <v>0</v>
      </c>
      <c r="AM7" s="71">
        <f>SUMIF(C4:AG4,"P",C7:AG8)</f>
        <v>0</v>
      </c>
      <c r="AN7" s="57">
        <f>SUMIF(C4:AG4,"S",C7:AG8)</f>
        <v>0</v>
      </c>
      <c r="AO7" s="78">
        <f>SUMIF(C4:AG4,"G",C7:AG8)</f>
        <v>0</v>
      </c>
      <c r="AP7" s="167">
        <f>AI7+'2026-10'!AP7</f>
        <v>68</v>
      </c>
      <c r="AQ7" s="195"/>
    </row>
    <row r="8" spans="1:43" s="1" customFormat="1" ht="15.95" customHeight="1">
      <c r="A8" s="185"/>
      <c r="B8" s="186"/>
      <c r="C8" s="38"/>
      <c r="D8" s="38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88"/>
      <c r="AH8" s="181"/>
      <c r="AI8" s="180"/>
      <c r="AJ8" s="194"/>
      <c r="AK8" s="194"/>
      <c r="AL8" s="194"/>
      <c r="AM8" s="190" t="str">
        <f>IF(SUM(C7:AG7)-AJ7=0,"√",SUM(C7:AG7)-AJ7)</f>
        <v>√</v>
      </c>
      <c r="AN8" s="191"/>
      <c r="AO8" s="192"/>
      <c r="AP8" s="168"/>
      <c r="AQ8" s="196"/>
    </row>
    <row r="9" spans="1:43" s="1" customFormat="1" ht="15.95" customHeight="1">
      <c r="A9" s="182">
        <v>3</v>
      </c>
      <c r="B9" s="183" t="s">
        <v>4</v>
      </c>
      <c r="C9" s="37"/>
      <c r="D9" s="37"/>
      <c r="E9" s="9"/>
      <c r="F9" s="9"/>
      <c r="G9" s="184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37"/>
      <c r="AF9" s="37"/>
      <c r="AG9" s="131"/>
      <c r="AH9" s="181" cm="1">
        <f t="array" ref="AH9" xml:space="preserve"> -SUMPRODUCT((C9:AG9&lt;&gt;"年") * (C9:AG9&lt;&gt;"调") * (C9:AG9&lt;&gt;"病") * (C9:AG9&lt;&gt;"事") * C10:AG10)</f>
        <v>0</v>
      </c>
      <c r="AI9" s="164">
        <f>-(SUMIF(C9:AG9,"=年",C10:AG10))</f>
        <v>0</v>
      </c>
      <c r="AJ9" s="166">
        <f>-(SUMIF(C9:AG9,"=调",C10:AG10))</f>
        <v>0</v>
      </c>
      <c r="AK9" s="166">
        <f>-(SUMIF(C9:AG9,"=病",C10:AG10))</f>
        <v>0</v>
      </c>
      <c r="AL9" s="166">
        <f>-(SUMIF(C9:AG9,"=事",C10:AG10))</f>
        <v>0</v>
      </c>
      <c r="AM9" s="72">
        <f>SUMIF(C4:AG4,"P",C9:AG10)</f>
        <v>0</v>
      </c>
      <c r="AN9" s="68">
        <f>SUMIF(C4:AG4,"S",C9:AG10)</f>
        <v>0</v>
      </c>
      <c r="AO9" s="79">
        <f>SUMIF(C4:AG4,"G",C9:AG10)</f>
        <v>0</v>
      </c>
      <c r="AP9" s="167">
        <f>AI9+'2026-10'!AP9</f>
        <v>37</v>
      </c>
      <c r="AQ9" s="170"/>
    </row>
    <row r="10" spans="1:43" s="1" customFormat="1" ht="15.95" customHeight="1">
      <c r="A10" s="175"/>
      <c r="B10" s="177"/>
      <c r="C10" s="37"/>
      <c r="D10" s="37"/>
      <c r="E10" s="9"/>
      <c r="F10" s="9"/>
      <c r="G10" s="179"/>
      <c r="H10" s="9"/>
      <c r="I10" s="9"/>
      <c r="J10" s="9"/>
      <c r="K10" s="9"/>
      <c r="L10" s="9"/>
      <c r="M10" s="9"/>
      <c r="N10" s="9"/>
      <c r="O10" s="6"/>
      <c r="P10" s="10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131"/>
      <c r="AH10" s="181"/>
      <c r="AI10" s="164"/>
      <c r="AJ10" s="166"/>
      <c r="AK10" s="166"/>
      <c r="AL10" s="166"/>
      <c r="AM10" s="190" t="str">
        <f>IF(SUM(C9:AG9)-AJ9=0,"√",SUM(C9:AG9)-AJ9)</f>
        <v>√</v>
      </c>
      <c r="AN10" s="191"/>
      <c r="AO10" s="192"/>
      <c r="AP10" s="168"/>
      <c r="AQ10" s="170"/>
    </row>
    <row r="11" spans="1:43" s="1" customFormat="1" ht="15.95" customHeight="1">
      <c r="A11" s="185">
        <v>4</v>
      </c>
      <c r="B11" s="186" t="s">
        <v>5</v>
      </c>
      <c r="C11" s="11"/>
      <c r="D11" s="197"/>
      <c r="E11" s="197"/>
      <c r="F11" s="197"/>
      <c r="G11" s="197"/>
      <c r="H11" s="197"/>
      <c r="I11" s="197"/>
      <c r="J11" s="197"/>
      <c r="K11" s="197"/>
      <c r="L11" s="197"/>
      <c r="M11" s="197"/>
      <c r="N11" s="197"/>
      <c r="O11" s="199"/>
      <c r="P11" s="199"/>
      <c r="Q11" s="197"/>
      <c r="R11" s="197"/>
      <c r="S11" s="197"/>
      <c r="T11" s="197"/>
      <c r="U11" s="197"/>
      <c r="V11" s="197"/>
      <c r="W11" s="197"/>
      <c r="X11" s="197"/>
      <c r="Y11" s="197"/>
      <c r="Z11" s="197"/>
      <c r="AA11" s="197"/>
      <c r="AB11" s="197"/>
      <c r="AC11" s="197"/>
      <c r="AD11" s="197"/>
      <c r="AE11" s="197"/>
      <c r="AF11" s="197"/>
      <c r="AG11" s="187"/>
      <c r="AH11" s="181" cm="1">
        <f t="array" ref="AH11" xml:space="preserve"> -SUMPRODUCT((C11:AG11&lt;&gt;"年") * (C11:AG11&lt;&gt;"调") * (C11:AG11&lt;&gt;"病") * (C11:AG11&lt;&gt;"事") * C12:AG12)</f>
        <v>0</v>
      </c>
      <c r="AI11" s="189">
        <f>-(SUMIF(C11:AG11,"=年",C12:AG12))</f>
        <v>0</v>
      </c>
      <c r="AJ11" s="193">
        <f>-(SUMIF(C11:AG11,"=调",C12:AG12))</f>
        <v>0</v>
      </c>
      <c r="AK11" s="193">
        <f>-(SUMIF(C11:AG11,"=病",C12:AG12))</f>
        <v>0</v>
      </c>
      <c r="AL11" s="193">
        <f>-(SUMIF(C11:AG11,"=事",C12:AG12))</f>
        <v>0</v>
      </c>
      <c r="AM11" s="71">
        <f>SUMIF(C4:AG4,"P",C11:AG12)</f>
        <v>0</v>
      </c>
      <c r="AN11" s="46">
        <f>SUMIF(C4:AG4,"S",C11:AG12)</f>
        <v>0</v>
      </c>
      <c r="AO11" s="78">
        <f>SUMIF(C4:AG4,"G",C11:AG12)</f>
        <v>0</v>
      </c>
      <c r="AP11" s="167">
        <f>AI11+'2026-10'!AP11</f>
        <v>6</v>
      </c>
      <c r="AQ11" s="195"/>
    </row>
    <row r="12" spans="1:43" s="1" customFormat="1" ht="15.95" customHeight="1">
      <c r="A12" s="185"/>
      <c r="B12" s="186"/>
      <c r="C12" s="15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79"/>
      <c r="P12" s="179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88"/>
      <c r="AH12" s="181"/>
      <c r="AI12" s="180"/>
      <c r="AJ12" s="194"/>
      <c r="AK12" s="194"/>
      <c r="AL12" s="194"/>
      <c r="AM12" s="190" t="str">
        <f>IF(SUM(C11:AG11)-AJ11=0,"√",SUM(C11:AG11)-AJ11)</f>
        <v>√</v>
      </c>
      <c r="AN12" s="191"/>
      <c r="AO12" s="200"/>
      <c r="AP12" s="168"/>
      <c r="AQ12" s="196"/>
    </row>
    <row r="13" spans="1:43" s="1" customFormat="1" ht="15.95" customHeight="1">
      <c r="A13" s="182">
        <v>5</v>
      </c>
      <c r="B13" s="183" t="s">
        <v>6</v>
      </c>
      <c r="C13" s="11"/>
      <c r="D13" s="11"/>
      <c r="E13" s="197"/>
      <c r="F13" s="197"/>
      <c r="G13" s="197"/>
      <c r="H13" s="197"/>
      <c r="I13" s="197"/>
      <c r="J13" s="11"/>
      <c r="K13" s="11"/>
      <c r="L13" s="11"/>
      <c r="M13" s="197"/>
      <c r="N13" s="197"/>
      <c r="O13" s="199"/>
      <c r="P13" s="199"/>
      <c r="Q13" s="11"/>
      <c r="R13" s="11"/>
      <c r="S13" s="11"/>
      <c r="T13" s="11"/>
      <c r="U13" s="199"/>
      <c r="V13" s="199"/>
      <c r="W13" s="199"/>
      <c r="X13" s="11"/>
      <c r="Y13" s="11"/>
      <c r="Z13" s="11"/>
      <c r="AA13" s="197"/>
      <c r="AB13" s="197"/>
      <c r="AC13" s="18"/>
      <c r="AD13" s="197"/>
      <c r="AE13" s="11"/>
      <c r="AF13" s="11"/>
      <c r="AG13" s="187"/>
      <c r="AH13" s="181" cm="1">
        <f t="array" ref="AH13" xml:space="preserve"> -SUMPRODUCT((C13:AG13&lt;&gt;"年") * (C13:AG13&lt;&gt;"调") * (C13:AG13&lt;&gt;"病") * (C13:AG13&lt;&gt;"事") * C14:AG14)</f>
        <v>0</v>
      </c>
      <c r="AI13" s="164">
        <f>-(SUMIF(C13:AG13,"=年",C14:AG14))</f>
        <v>0</v>
      </c>
      <c r="AJ13" s="166">
        <f>-(SUMIF(C13:AG13,"=调",C14:AG14))</f>
        <v>0</v>
      </c>
      <c r="AK13" s="166">
        <f>-(SUMIF(C13:AG13,"=病",C14:AG14))</f>
        <v>0</v>
      </c>
      <c r="AL13" s="166">
        <f>-(SUMIF(C13:AG13,"=事",C14:AG14))</f>
        <v>0</v>
      </c>
      <c r="AM13" s="72">
        <f>SUMIF(C4:AG4,"P",C13:AG14)</f>
        <v>0</v>
      </c>
      <c r="AN13" s="68">
        <f>SUMIF(C4:AG4,"S",C13:AG14)</f>
        <v>0</v>
      </c>
      <c r="AO13" s="79">
        <f>SUMIF(C4:AG4,"G",C13:AG14)</f>
        <v>0</v>
      </c>
      <c r="AP13" s="167">
        <f>AI13+'2026-10'!AP13</f>
        <v>21.5</v>
      </c>
      <c r="AQ13" s="201"/>
    </row>
    <row r="14" spans="1:43" s="1" customFormat="1" ht="15.95" customHeight="1">
      <c r="A14" s="175"/>
      <c r="B14" s="177"/>
      <c r="C14" s="15"/>
      <c r="D14" s="15"/>
      <c r="E14" s="198"/>
      <c r="F14" s="198"/>
      <c r="G14" s="198"/>
      <c r="H14" s="198"/>
      <c r="I14" s="198"/>
      <c r="J14" s="15"/>
      <c r="K14" s="15"/>
      <c r="L14" s="15"/>
      <c r="M14" s="198"/>
      <c r="N14" s="198"/>
      <c r="O14" s="179"/>
      <c r="P14" s="179"/>
      <c r="Q14" s="15"/>
      <c r="R14" s="15"/>
      <c r="S14" s="15"/>
      <c r="T14" s="15"/>
      <c r="U14" s="179"/>
      <c r="V14" s="179"/>
      <c r="W14" s="179"/>
      <c r="X14" s="15"/>
      <c r="Y14" s="15"/>
      <c r="Z14" s="15"/>
      <c r="AA14" s="198"/>
      <c r="AB14" s="198"/>
      <c r="AC14" s="50"/>
      <c r="AD14" s="198"/>
      <c r="AE14" s="15"/>
      <c r="AF14" s="15"/>
      <c r="AG14" s="188"/>
      <c r="AH14" s="181"/>
      <c r="AI14" s="164"/>
      <c r="AJ14" s="166"/>
      <c r="AK14" s="166"/>
      <c r="AL14" s="166"/>
      <c r="AM14" s="171" t="str">
        <f>IF(SUM(C13:AG13)-AJ13=0,"√",SUM(C13:AG13)-AJ13)</f>
        <v>√</v>
      </c>
      <c r="AN14" s="172"/>
      <c r="AO14" s="173"/>
      <c r="AP14" s="168"/>
      <c r="AQ14" s="201"/>
    </row>
    <row r="15" spans="1:43" s="1" customFormat="1" ht="15.95" customHeight="1">
      <c r="A15" s="185">
        <v>6</v>
      </c>
      <c r="B15" s="186" t="s">
        <v>7</v>
      </c>
      <c r="C15" s="197"/>
      <c r="D15" s="197"/>
      <c r="E15" s="197"/>
      <c r="F15" s="197"/>
      <c r="G15" s="197"/>
      <c r="H15" s="197"/>
      <c r="I15" s="197"/>
      <c r="J15" s="197"/>
      <c r="K15" s="197"/>
      <c r="L15" s="197"/>
      <c r="M15" s="197"/>
      <c r="N15" s="197"/>
      <c r="O15" s="199"/>
      <c r="P15" s="199"/>
      <c r="Q15" s="197"/>
      <c r="R15" s="197"/>
      <c r="S15" s="197"/>
      <c r="T15" s="197"/>
      <c r="U15" s="197"/>
      <c r="V15" s="204"/>
      <c r="W15" s="197"/>
      <c r="X15" s="197"/>
      <c r="Y15" s="197"/>
      <c r="Z15" s="197"/>
      <c r="AA15" s="197"/>
      <c r="AB15" s="197"/>
      <c r="AC15" s="197"/>
      <c r="AD15" s="197"/>
      <c r="AE15" s="197"/>
      <c r="AF15" s="197"/>
      <c r="AG15" s="187"/>
      <c r="AH15" s="181" cm="1">
        <f t="array" ref="AH15" xml:space="preserve"> -SUMPRODUCT((C15:AG15&lt;&gt;"年") * (C15:AG15&lt;&gt;"调") * (C15:AG15&lt;&gt;"病") * (C15:AG15&lt;&gt;"事") * C16:AG16)</f>
        <v>0</v>
      </c>
      <c r="AI15" s="189">
        <f>-(SUMIF(C15:AG15,"=年",C16:AG16))</f>
        <v>0</v>
      </c>
      <c r="AJ15" s="193">
        <f>-(SUMIF(C15:AG15,"=调",C16:AG16))</f>
        <v>0</v>
      </c>
      <c r="AK15" s="193">
        <f>-(SUMIF(C15:AG15,"=病",C16:AG16))</f>
        <v>0</v>
      </c>
      <c r="AL15" s="193">
        <f>-(SUMIF(C15:AG15,"=事",C16:AG16))</f>
        <v>0</v>
      </c>
      <c r="AM15" s="71">
        <f>SUMIF(C4:AG4,"P",C15:AG16)</f>
        <v>0</v>
      </c>
      <c r="AN15" s="46">
        <f>SUMIF(C4:AG4,"S",C15:AG16)</f>
        <v>0</v>
      </c>
      <c r="AO15" s="78">
        <f>SUMIF(C4:AG4,"G",C15:AG16)</f>
        <v>0</v>
      </c>
      <c r="AP15" s="167">
        <f>AI15+'2026-10'!AP15</f>
        <v>15</v>
      </c>
      <c r="AQ15" s="202"/>
    </row>
    <row r="16" spans="1:43" s="1" customFormat="1" ht="15.95" customHeight="1">
      <c r="A16" s="185"/>
      <c r="B16" s="186"/>
      <c r="C16" s="198"/>
      <c r="D16" s="198"/>
      <c r="E16" s="198"/>
      <c r="F16" s="198"/>
      <c r="G16" s="198"/>
      <c r="H16" s="198"/>
      <c r="I16" s="198"/>
      <c r="J16" s="198"/>
      <c r="K16" s="198"/>
      <c r="L16" s="198"/>
      <c r="M16" s="198"/>
      <c r="N16" s="198"/>
      <c r="O16" s="179"/>
      <c r="P16" s="179"/>
      <c r="Q16" s="198"/>
      <c r="R16" s="198"/>
      <c r="S16" s="198"/>
      <c r="T16" s="198"/>
      <c r="U16" s="198"/>
      <c r="V16" s="179"/>
      <c r="W16" s="198"/>
      <c r="X16" s="198"/>
      <c r="Y16" s="198"/>
      <c r="Z16" s="198"/>
      <c r="AA16" s="198"/>
      <c r="AB16" s="198"/>
      <c r="AC16" s="198"/>
      <c r="AD16" s="198"/>
      <c r="AE16" s="198"/>
      <c r="AF16" s="198"/>
      <c r="AG16" s="188"/>
      <c r="AH16" s="181"/>
      <c r="AI16" s="180"/>
      <c r="AJ16" s="194"/>
      <c r="AK16" s="194"/>
      <c r="AL16" s="194"/>
      <c r="AM16" s="190" t="str">
        <f>IF(SUM(C15:AG15)-AJ15=0,"√",SUM(C15:AG15)-AJ15)</f>
        <v>√</v>
      </c>
      <c r="AN16" s="191"/>
      <c r="AO16" s="200"/>
      <c r="AP16" s="168"/>
      <c r="AQ16" s="203"/>
    </row>
    <row r="17" spans="1:43" s="1" customFormat="1" ht="15.95" customHeight="1">
      <c r="A17" s="182">
        <v>7</v>
      </c>
      <c r="B17" s="183" t="s">
        <v>8</v>
      </c>
      <c r="C17" s="37"/>
      <c r="D17" s="37"/>
      <c r="E17" s="9"/>
      <c r="F17" s="9"/>
      <c r="G17" s="37"/>
      <c r="H17" s="9"/>
      <c r="I17" s="9"/>
      <c r="J17" s="9"/>
      <c r="K17" s="9"/>
      <c r="L17" s="9"/>
      <c r="M17" s="9"/>
      <c r="N17" s="9"/>
      <c r="O17" s="8"/>
      <c r="P17" s="9"/>
      <c r="Q17" s="9"/>
      <c r="R17" s="37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131"/>
      <c r="AH17" s="181" cm="1">
        <f t="array" ref="AH17" xml:space="preserve"> -SUMPRODUCT((C17:AG17&lt;&gt;"年") * (C17:AG17&lt;&gt;"调") * (C17:AG17&lt;&gt;"病") * (C17:AG17&lt;&gt;"事") * C18:AG18)</f>
        <v>0</v>
      </c>
      <c r="AI17" s="164">
        <f>-(SUMIF(C17:AG17,"=年",C18:AG18))</f>
        <v>0</v>
      </c>
      <c r="AJ17" s="166">
        <f>-(SUMIF(C17:AG17,"=调",C18:AG18))</f>
        <v>0</v>
      </c>
      <c r="AK17" s="166">
        <f>-(SUMIF(C17:AG17,"=病",C18:AG18))</f>
        <v>0</v>
      </c>
      <c r="AL17" s="166">
        <f>-(SUMIF(C17:AG17,"=事",C18:AG18))</f>
        <v>0</v>
      </c>
      <c r="AM17" s="72">
        <f>SUMIF(C4:AG4,"P",C17:AG18)</f>
        <v>0</v>
      </c>
      <c r="AN17" s="68">
        <f>SUMIF(C4:AG4,"S",C17:AG18)</f>
        <v>0</v>
      </c>
      <c r="AO17" s="79">
        <f>SUMIF(C4:AG4,"G",C17:AG18)</f>
        <v>0</v>
      </c>
      <c r="AP17" s="167">
        <f>AI17+'2026-10'!AP17</f>
        <v>33</v>
      </c>
      <c r="AQ17" s="170"/>
    </row>
    <row r="18" spans="1:43" s="1" customFormat="1" ht="15.95" customHeight="1">
      <c r="A18" s="175"/>
      <c r="B18" s="177"/>
      <c r="C18" s="37"/>
      <c r="D18" s="37"/>
      <c r="E18" s="9"/>
      <c r="F18" s="9"/>
      <c r="G18" s="9"/>
      <c r="H18" s="9"/>
      <c r="I18" s="9"/>
      <c r="J18" s="9"/>
      <c r="K18" s="9"/>
      <c r="L18" s="9"/>
      <c r="M18" s="9"/>
      <c r="N18" s="9"/>
      <c r="O18" s="6"/>
      <c r="P18" s="10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131"/>
      <c r="AH18" s="181"/>
      <c r="AI18" s="164"/>
      <c r="AJ18" s="166"/>
      <c r="AK18" s="166"/>
      <c r="AL18" s="166"/>
      <c r="AM18" s="171" t="str">
        <f>IF(SUM(C17:AG17)-AJ17=0,"√",SUM(C17:AG17)-AJ17)</f>
        <v>√</v>
      </c>
      <c r="AN18" s="172"/>
      <c r="AO18" s="173"/>
      <c r="AP18" s="168"/>
      <c r="AQ18" s="170"/>
    </row>
    <row r="19" spans="1:43" s="1" customFormat="1" ht="15.95" customHeight="1">
      <c r="A19" s="185">
        <v>8</v>
      </c>
      <c r="B19" s="186" t="s">
        <v>9</v>
      </c>
      <c r="C19" s="197"/>
      <c r="D19" s="197"/>
      <c r="E19" s="197"/>
      <c r="F19" s="197"/>
      <c r="G19" s="197"/>
      <c r="H19" s="197"/>
      <c r="I19" s="18"/>
      <c r="J19" s="197"/>
      <c r="K19" s="197"/>
      <c r="L19" s="11"/>
      <c r="M19" s="197"/>
      <c r="N19" s="197"/>
      <c r="O19" s="199"/>
      <c r="P19" s="199"/>
      <c r="Q19" s="197"/>
      <c r="R19" s="197"/>
      <c r="S19" s="197"/>
      <c r="T19" s="197"/>
      <c r="U19" s="197"/>
      <c r="V19" s="18"/>
      <c r="W19" s="197"/>
      <c r="X19" s="197"/>
      <c r="Y19" s="197"/>
      <c r="Z19" s="197"/>
      <c r="AA19" s="197"/>
      <c r="AB19" s="197"/>
      <c r="AC19" s="197"/>
      <c r="AD19" s="197"/>
      <c r="AE19" s="197"/>
      <c r="AF19" s="197"/>
      <c r="AG19" s="187"/>
      <c r="AH19" s="181" cm="1">
        <f t="array" ref="AH19" xml:space="preserve"> -SUMPRODUCT((C19:AG19&lt;&gt;"年") * (C19:AG19&lt;&gt;"调") * (C19:AG19&lt;&gt;"病") * (C19:AG19&lt;&gt;"事") * C20:AG20)</f>
        <v>0</v>
      </c>
      <c r="AI19" s="189">
        <f>-(SUMIF(C19:AG19,"=年",C20:AG20))</f>
        <v>0</v>
      </c>
      <c r="AJ19" s="193">
        <f>-(SUMIF(C19:AG19,"=调",C20:AG20))</f>
        <v>0</v>
      </c>
      <c r="AK19" s="193">
        <f>-(SUMIF(C19:AG19,"=病",C20:AG20))</f>
        <v>0</v>
      </c>
      <c r="AL19" s="193">
        <f>-(SUMIF(C19:AG19,"=事",C20:AG20))</f>
        <v>0</v>
      </c>
      <c r="AM19" s="71">
        <f>SUMIF(C4:AG4,"P",C19:AG20)</f>
        <v>0</v>
      </c>
      <c r="AN19" s="46">
        <f>SUMIF(C4:AG4,"S",C19:AG20)</f>
        <v>0</v>
      </c>
      <c r="AO19" s="78">
        <f>SUMIF(C4:AG4,"G",C19:AG20)</f>
        <v>0</v>
      </c>
      <c r="AP19" s="167">
        <f>AI19+'2026-10'!AP19</f>
        <v>42.5</v>
      </c>
      <c r="AQ19" s="205"/>
    </row>
    <row r="20" spans="1:43" s="1" customFormat="1" ht="15.95" customHeight="1">
      <c r="A20" s="185"/>
      <c r="B20" s="186"/>
      <c r="C20" s="198"/>
      <c r="D20" s="198"/>
      <c r="E20" s="198"/>
      <c r="F20" s="198"/>
      <c r="G20" s="198"/>
      <c r="H20" s="198"/>
      <c r="I20" s="50"/>
      <c r="J20" s="198"/>
      <c r="K20" s="198"/>
      <c r="L20" s="15"/>
      <c r="M20" s="198"/>
      <c r="N20" s="198"/>
      <c r="O20" s="179"/>
      <c r="P20" s="179"/>
      <c r="Q20" s="198"/>
      <c r="R20" s="198"/>
      <c r="S20" s="198"/>
      <c r="T20" s="198"/>
      <c r="U20" s="198"/>
      <c r="V20" s="50"/>
      <c r="W20" s="198"/>
      <c r="X20" s="198"/>
      <c r="Y20" s="198"/>
      <c r="Z20" s="198"/>
      <c r="AA20" s="198"/>
      <c r="AB20" s="198"/>
      <c r="AC20" s="198"/>
      <c r="AD20" s="198"/>
      <c r="AE20" s="198"/>
      <c r="AF20" s="198"/>
      <c r="AG20" s="188"/>
      <c r="AH20" s="181"/>
      <c r="AI20" s="180"/>
      <c r="AJ20" s="194"/>
      <c r="AK20" s="194"/>
      <c r="AL20" s="194"/>
      <c r="AM20" s="190" t="str">
        <f>IF(SUM(C19:AG19)-AJ19=0,"√",SUM(C19:AG19)-AJ19)</f>
        <v>√</v>
      </c>
      <c r="AN20" s="191"/>
      <c r="AO20" s="200"/>
      <c r="AP20" s="168"/>
      <c r="AQ20" s="206"/>
    </row>
    <row r="21" spans="1:43" s="1" customFormat="1" ht="15.95" customHeight="1">
      <c r="A21" s="182">
        <v>9</v>
      </c>
      <c r="B21" s="183" t="s">
        <v>11</v>
      </c>
      <c r="C21" s="18"/>
      <c r="D21" s="197"/>
      <c r="E21" s="11"/>
      <c r="F21" s="197"/>
      <c r="G21" s="197"/>
      <c r="H21" s="197"/>
      <c r="I21" s="197"/>
      <c r="J21" s="197"/>
      <c r="K21" s="197"/>
      <c r="L21" s="197"/>
      <c r="M21" s="197"/>
      <c r="N21" s="197"/>
      <c r="O21" s="54"/>
      <c r="P21" s="54"/>
      <c r="Q21" s="54"/>
      <c r="R21" s="197"/>
      <c r="S21" s="197"/>
      <c r="T21" s="197"/>
      <c r="U21" s="197"/>
      <c r="V21" s="199"/>
      <c r="W21" s="197"/>
      <c r="X21" s="197"/>
      <c r="Y21" s="197"/>
      <c r="Z21" s="197"/>
      <c r="AA21" s="197"/>
      <c r="AB21" s="197"/>
      <c r="AC21" s="197"/>
      <c r="AD21" s="18"/>
      <c r="AE21" s="197"/>
      <c r="AF21" s="197"/>
      <c r="AG21" s="187"/>
      <c r="AH21" s="181" cm="1">
        <f t="array" ref="AH21" xml:space="preserve"> -SUMPRODUCT((C21:AG21&lt;&gt;"年") * (C21:AG21&lt;&gt;"调") * (C21:AG21&lt;&gt;"病") * (C21:AG21&lt;&gt;"事") * C22:AG22)</f>
        <v>0</v>
      </c>
      <c r="AI21" s="164">
        <f>-(SUMIF(C21:AG21,"=年",C22:AG22))</f>
        <v>0</v>
      </c>
      <c r="AJ21" s="166">
        <f>-(SUMIF(C21:AG21,"=调",C22:AG22))</f>
        <v>0</v>
      </c>
      <c r="AK21" s="166">
        <f>-(SUMIF(C21:AG21,"=病",C22:AG22))</f>
        <v>0</v>
      </c>
      <c r="AL21" s="166">
        <f>-(SUMIF(C21:AG21,"=事",C22:AG22))</f>
        <v>0</v>
      </c>
      <c r="AM21" s="72">
        <f>SUMIF(C4:AG4,"P",C21:AG22)</f>
        <v>0</v>
      </c>
      <c r="AN21" s="68">
        <f>SUMIF(C4:AG4,"S",C21:AG22)</f>
        <v>0</v>
      </c>
      <c r="AO21" s="79">
        <f>SUMIF(C4:AG4,"G",C21:AG22)</f>
        <v>0</v>
      </c>
      <c r="AP21" s="167">
        <f>AI21+'2026-10'!AP21</f>
        <v>45</v>
      </c>
      <c r="AQ21" s="201"/>
    </row>
    <row r="22" spans="1:43" s="1" customFormat="1" ht="15.95" customHeight="1">
      <c r="A22" s="175"/>
      <c r="B22" s="177"/>
      <c r="C22" s="50"/>
      <c r="D22" s="198"/>
      <c r="E22" s="15"/>
      <c r="F22" s="198"/>
      <c r="G22" s="198"/>
      <c r="H22" s="198"/>
      <c r="I22" s="198"/>
      <c r="J22" s="198"/>
      <c r="K22" s="198"/>
      <c r="L22" s="198"/>
      <c r="M22" s="198"/>
      <c r="N22" s="198"/>
      <c r="O22" s="17"/>
      <c r="P22" s="17"/>
      <c r="Q22" s="17"/>
      <c r="R22" s="198"/>
      <c r="S22" s="198"/>
      <c r="T22" s="198"/>
      <c r="U22" s="198"/>
      <c r="V22" s="179"/>
      <c r="W22" s="198"/>
      <c r="X22" s="198"/>
      <c r="Y22" s="198"/>
      <c r="Z22" s="198"/>
      <c r="AA22" s="198"/>
      <c r="AB22" s="198"/>
      <c r="AC22" s="198"/>
      <c r="AD22" s="50"/>
      <c r="AE22" s="198"/>
      <c r="AF22" s="198"/>
      <c r="AG22" s="188"/>
      <c r="AH22" s="181"/>
      <c r="AI22" s="164"/>
      <c r="AJ22" s="166"/>
      <c r="AK22" s="166"/>
      <c r="AL22" s="166"/>
      <c r="AM22" s="171" t="str">
        <f>IF(SUM(C21:AG21)-AJ21=0,"√",SUM(C21:AG21)-AJ21)</f>
        <v>√</v>
      </c>
      <c r="AN22" s="172"/>
      <c r="AO22" s="173"/>
      <c r="AP22" s="168"/>
      <c r="AQ22" s="201"/>
    </row>
    <row r="23" spans="1:43" s="1" customFormat="1" ht="15.95" customHeight="1">
      <c r="A23" s="185">
        <v>10</v>
      </c>
      <c r="B23" s="186" t="s">
        <v>12</v>
      </c>
      <c r="C23" s="197"/>
      <c r="D23" s="197"/>
      <c r="E23" s="197"/>
      <c r="F23" s="197"/>
      <c r="G23" s="197"/>
      <c r="H23" s="197"/>
      <c r="I23" s="197"/>
      <c r="J23" s="197"/>
      <c r="K23" s="197"/>
      <c r="L23" s="197"/>
      <c r="M23" s="197"/>
      <c r="N23" s="197"/>
      <c r="O23" s="199"/>
      <c r="P23" s="199"/>
      <c r="Q23" s="197"/>
      <c r="R23" s="197"/>
      <c r="S23" s="197"/>
      <c r="T23" s="197"/>
      <c r="U23" s="197"/>
      <c r="V23" s="184"/>
      <c r="W23" s="184"/>
      <c r="X23" s="197"/>
      <c r="Y23" s="197"/>
      <c r="Z23" s="197"/>
      <c r="AA23" s="197"/>
      <c r="AB23" s="197"/>
      <c r="AC23" s="197"/>
      <c r="AD23" s="197"/>
      <c r="AE23" s="197"/>
      <c r="AF23" s="197"/>
      <c r="AG23" s="187"/>
      <c r="AH23" s="181" cm="1">
        <f t="array" ref="AH23" xml:space="preserve"> -SUMPRODUCT((C23:AG23&lt;&gt;"年") * (C23:AG23&lt;&gt;"调") * (C23:AG23&lt;&gt;"病") * (C23:AG23&lt;&gt;"事") * C24:AG24)</f>
        <v>0</v>
      </c>
      <c r="AI23" s="189">
        <f>-(SUMIF(C23:AG23,"=年",C24:AG24))</f>
        <v>0</v>
      </c>
      <c r="AJ23" s="193">
        <f>-(SUMIF(C23:AG23,"=调",C24:AG24))</f>
        <v>0</v>
      </c>
      <c r="AK23" s="193">
        <f>-(SUMIF(C23:AG23,"=病",C24:AG24))</f>
        <v>0</v>
      </c>
      <c r="AL23" s="193">
        <f>-(SUMIF(C23:AG23,"=事",C24:AG24))</f>
        <v>0</v>
      </c>
      <c r="AM23" s="71">
        <f>SUMIF(C4:AG4,"P",C23:AG24)</f>
        <v>0</v>
      </c>
      <c r="AN23" s="46">
        <f>SUMIF(C4:AG4,"S",C23:AG24)</f>
        <v>0</v>
      </c>
      <c r="AO23" s="78">
        <f>SUMIF(C4:AG4,"G",C23:AG24)</f>
        <v>0</v>
      </c>
      <c r="AP23" s="167">
        <f>AI23+'2026-10'!AP23</f>
        <v>49</v>
      </c>
      <c r="AQ23" s="195"/>
    </row>
    <row r="24" spans="1:43" s="1" customFormat="1" ht="15.95" customHeight="1">
      <c r="A24" s="185"/>
      <c r="B24" s="186"/>
      <c r="C24" s="198"/>
      <c r="D24" s="198"/>
      <c r="E24" s="198"/>
      <c r="F24" s="198"/>
      <c r="G24" s="198"/>
      <c r="H24" s="198"/>
      <c r="I24" s="198"/>
      <c r="J24" s="198"/>
      <c r="K24" s="198"/>
      <c r="L24" s="198"/>
      <c r="M24" s="198"/>
      <c r="N24" s="198"/>
      <c r="O24" s="179"/>
      <c r="P24" s="179"/>
      <c r="Q24" s="198"/>
      <c r="R24" s="198"/>
      <c r="S24" s="198"/>
      <c r="T24" s="198"/>
      <c r="U24" s="198"/>
      <c r="V24" s="179"/>
      <c r="W24" s="179"/>
      <c r="X24" s="198"/>
      <c r="Y24" s="198"/>
      <c r="Z24" s="198"/>
      <c r="AA24" s="198"/>
      <c r="AB24" s="198"/>
      <c r="AC24" s="198"/>
      <c r="AD24" s="198"/>
      <c r="AE24" s="198"/>
      <c r="AF24" s="198"/>
      <c r="AG24" s="188"/>
      <c r="AH24" s="181"/>
      <c r="AI24" s="180"/>
      <c r="AJ24" s="194"/>
      <c r="AK24" s="194"/>
      <c r="AL24" s="194"/>
      <c r="AM24" s="190" t="str">
        <f>IF(SUM(C23:AG23)-AJ23=0,"√",SUM(C23:AG23)-AJ23)</f>
        <v>√</v>
      </c>
      <c r="AN24" s="191"/>
      <c r="AO24" s="200"/>
      <c r="AP24" s="168"/>
      <c r="AQ24" s="196"/>
    </row>
    <row r="25" spans="1:43" s="1" customFormat="1" ht="15.95" customHeight="1">
      <c r="A25" s="185">
        <v>11</v>
      </c>
      <c r="B25" s="186" t="s">
        <v>14</v>
      </c>
      <c r="C25" s="197"/>
      <c r="D25" s="197"/>
      <c r="E25" s="197"/>
      <c r="F25" s="197"/>
      <c r="G25" s="197"/>
      <c r="H25" s="197"/>
      <c r="I25" s="197"/>
      <c r="J25" s="197"/>
      <c r="K25" s="197"/>
      <c r="L25" s="197"/>
      <c r="M25" s="197"/>
      <c r="N25" s="197"/>
      <c r="O25" s="199"/>
      <c r="P25" s="199"/>
      <c r="Q25" s="197"/>
      <c r="R25" s="197"/>
      <c r="S25" s="197"/>
      <c r="T25" s="197"/>
      <c r="U25" s="197"/>
      <c r="V25" s="199"/>
      <c r="W25" s="54"/>
      <c r="X25" s="197"/>
      <c r="Y25" s="197"/>
      <c r="Z25" s="197"/>
      <c r="AA25" s="197"/>
      <c r="AB25" s="197"/>
      <c r="AC25" s="197"/>
      <c r="AD25" s="197"/>
      <c r="AE25" s="197"/>
      <c r="AF25" s="197"/>
      <c r="AG25" s="187"/>
      <c r="AH25" s="181" cm="1">
        <f t="array" ref="AH25" xml:space="preserve"> -SUMPRODUCT((C25:AG25&lt;&gt;"年") * (C25:AG25&lt;&gt;"调") * (C25:AG25&lt;&gt;"病") * (C25:AG25&lt;&gt;"事") * C26:AG26)</f>
        <v>0</v>
      </c>
      <c r="AI25" s="189">
        <f>-(SUMIF(C25:AG25,"=年",C26:AG26))</f>
        <v>0</v>
      </c>
      <c r="AJ25" s="193">
        <f>-(SUMIF(C25:AG25,"=调",C26:AG26))</f>
        <v>0</v>
      </c>
      <c r="AK25" s="193">
        <f>-(SUMIF(C25:AG25,"=病",C26:AG26))</f>
        <v>0</v>
      </c>
      <c r="AL25" s="193">
        <f>-(SUMIF(C25:AG25,"=事",C26:AG26))</f>
        <v>0</v>
      </c>
      <c r="AM25" s="71">
        <f>SUMIF(C4:AG4,"P",C25:AG26)</f>
        <v>0</v>
      </c>
      <c r="AN25" s="46">
        <f>SUMIF(C4:AG4,"S",C25:AG26)</f>
        <v>0</v>
      </c>
      <c r="AO25" s="78">
        <f>SUMIF(C4:AG4,"G",C25:AG26)</f>
        <v>0</v>
      </c>
      <c r="AP25" s="167">
        <f>AI25+'2026-10'!AP25</f>
        <v>35</v>
      </c>
      <c r="AQ25" s="195"/>
    </row>
    <row r="26" spans="1:43" s="1" customFormat="1" ht="15.95" customHeight="1">
      <c r="A26" s="185"/>
      <c r="B26" s="186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198"/>
      <c r="O26" s="179"/>
      <c r="P26" s="179"/>
      <c r="Q26" s="198"/>
      <c r="R26" s="198"/>
      <c r="S26" s="198"/>
      <c r="T26" s="198"/>
      <c r="U26" s="198"/>
      <c r="V26" s="179"/>
      <c r="W26" s="17"/>
      <c r="X26" s="198"/>
      <c r="Y26" s="198"/>
      <c r="Z26" s="198"/>
      <c r="AA26" s="198"/>
      <c r="AB26" s="198"/>
      <c r="AC26" s="198"/>
      <c r="AD26" s="198"/>
      <c r="AE26" s="198"/>
      <c r="AF26" s="198"/>
      <c r="AG26" s="188"/>
      <c r="AH26" s="181"/>
      <c r="AI26" s="180"/>
      <c r="AJ26" s="194"/>
      <c r="AK26" s="194"/>
      <c r="AL26" s="194"/>
      <c r="AM26" s="190" t="str">
        <f>IF(SUM(C25:AG25)-AJ25=0,"√",SUM(C25:AG25)-AJ25)</f>
        <v>√</v>
      </c>
      <c r="AN26" s="191"/>
      <c r="AO26" s="200"/>
      <c r="AP26" s="168"/>
      <c r="AQ26" s="196"/>
    </row>
    <row r="27" spans="1:43" s="1" customFormat="1" ht="15.95" customHeight="1">
      <c r="A27" s="182">
        <v>12</v>
      </c>
      <c r="B27" s="183" t="s">
        <v>34</v>
      </c>
      <c r="C27" s="37"/>
      <c r="D27" s="37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37"/>
      <c r="W27" s="9"/>
      <c r="X27" s="9"/>
      <c r="Y27" s="9"/>
      <c r="Z27" s="37"/>
      <c r="AA27" s="9"/>
      <c r="AB27" s="9"/>
      <c r="AC27" s="9"/>
      <c r="AD27" s="9"/>
      <c r="AE27" s="9"/>
      <c r="AF27" s="9"/>
      <c r="AG27" s="131"/>
      <c r="AH27" s="181" cm="1">
        <f t="array" ref="AH27" xml:space="preserve"> -SUMPRODUCT((C27:AG27&lt;&gt;"年") * (C27:AG27&lt;&gt;"调") * (C27:AG27&lt;&gt;"病") * (C27:AG27&lt;&gt;"事") * C28:AG28)</f>
        <v>0</v>
      </c>
      <c r="AI27" s="164">
        <f>-(SUMIF(C27:AG27,"=年",C28:AG28))</f>
        <v>0</v>
      </c>
      <c r="AJ27" s="166">
        <f>-(SUMIF(C27:AG27,"=调",C28:AG28))</f>
        <v>0</v>
      </c>
      <c r="AK27" s="166">
        <f>-(SUMIF(C27:AG27,"=病",C28:AG28))</f>
        <v>0</v>
      </c>
      <c r="AL27" s="166">
        <f>-(SUMIF(C27:AG27,"=事",C28:AG28))</f>
        <v>0</v>
      </c>
      <c r="AM27" s="72">
        <f>SUMIF(C4:AG4,"P",C27:AG28)</f>
        <v>0</v>
      </c>
      <c r="AN27" s="68">
        <f>SUMIF(C4:AG4,"S",C27:AG28)-AJ27</f>
        <v>0</v>
      </c>
      <c r="AO27" s="79">
        <f>SUMIF(C4:AG4,"G",C27:AG28)</f>
        <v>0</v>
      </c>
      <c r="AP27" s="167">
        <f>AI27+'2026-10'!AP27</f>
        <v>66.5</v>
      </c>
      <c r="AQ27" s="217"/>
    </row>
    <row r="28" spans="1:43" s="1" customFormat="1" ht="15.95" customHeight="1">
      <c r="A28" s="175"/>
      <c r="B28" s="210"/>
      <c r="C28" s="37"/>
      <c r="D28" s="37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131"/>
      <c r="AH28" s="181"/>
      <c r="AI28" s="164"/>
      <c r="AJ28" s="166"/>
      <c r="AK28" s="166"/>
      <c r="AL28" s="166"/>
      <c r="AM28" s="171" t="str">
        <f>IF(SUM(C27:AG27)-AJ27=0,"√",SUM(C27:AG27)-AJ27)</f>
        <v>√</v>
      </c>
      <c r="AN28" s="172"/>
      <c r="AO28" s="173"/>
      <c r="AP28" s="168"/>
      <c r="AQ28" s="170"/>
    </row>
    <row r="29" spans="1:43" s="1" customFormat="1" ht="15.95" customHeight="1">
      <c r="A29" s="175">
        <v>13</v>
      </c>
      <c r="B29" s="219" t="s">
        <v>56</v>
      </c>
      <c r="C29" s="11"/>
      <c r="D29" s="11"/>
      <c r="E29" s="5"/>
      <c r="F29" s="5"/>
      <c r="G29" s="5"/>
      <c r="H29" s="5"/>
      <c r="I29" s="5"/>
      <c r="J29" s="5"/>
      <c r="K29" s="5"/>
      <c r="L29" s="5"/>
      <c r="M29" s="5"/>
      <c r="N29" s="5"/>
      <c r="O29" s="134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184"/>
      <c r="AE29" s="5"/>
      <c r="AF29" s="5"/>
      <c r="AG29" s="130"/>
      <c r="AH29" s="181" cm="1">
        <f t="array" ref="AH29" xml:space="preserve"> -SUMPRODUCT((C29:AG29&lt;&gt;"年") * (C29:AG29&lt;&gt;"调") * (C29:AG29&lt;&gt;"病") * (C29:AG29&lt;&gt;"事") * C30:AG30)</f>
        <v>0</v>
      </c>
      <c r="AI29" s="189">
        <f>-(SUMIF(C29:AG29,"=年",C30:AG30))</f>
        <v>0</v>
      </c>
      <c r="AJ29" s="193">
        <f>-(SUMIF(C29:AG29,"=调",C30:AG30))</f>
        <v>0</v>
      </c>
      <c r="AK29" s="193">
        <f>-(SUMIF(C29:AG29,"=病",C30:AG30))</f>
        <v>0</v>
      </c>
      <c r="AL29" s="193">
        <f>-(SUMIF(C29:AG29,"=事",C30:AG30))</f>
        <v>0</v>
      </c>
      <c r="AM29" s="71">
        <f>SUMIF(C4:AG4,"P",C29:AG30)</f>
        <v>0</v>
      </c>
      <c r="AN29" s="46">
        <f>SUMIF(C4:AG4,"S",C29:AG30)-AJ29</f>
        <v>0</v>
      </c>
      <c r="AO29" s="56">
        <f>SUMIF(C4:AG4,"G",C29:AG30)</f>
        <v>0</v>
      </c>
      <c r="AP29" s="168">
        <f>AI29+'2026-10'!AP29</f>
        <v>0</v>
      </c>
      <c r="AQ29" s="208"/>
    </row>
    <row r="30" spans="1:43" s="1" customFormat="1" ht="15.95" customHeight="1" thickBot="1">
      <c r="A30" s="218"/>
      <c r="B30" s="220"/>
      <c r="C30" s="39"/>
      <c r="D30" s="39"/>
      <c r="E30" s="7"/>
      <c r="F30" s="7"/>
      <c r="G30" s="7"/>
      <c r="H30" s="7"/>
      <c r="I30" s="7"/>
      <c r="J30" s="7"/>
      <c r="K30" s="7"/>
      <c r="L30" s="7"/>
      <c r="M30" s="7"/>
      <c r="N30" s="7"/>
      <c r="O30" s="135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221"/>
      <c r="AE30" s="7"/>
      <c r="AF30" s="7"/>
      <c r="AG30" s="136"/>
      <c r="AH30" s="222"/>
      <c r="AI30" s="223"/>
      <c r="AJ30" s="211"/>
      <c r="AK30" s="211"/>
      <c r="AL30" s="211"/>
      <c r="AM30" s="213" t="str">
        <f>IF(SUM(C29:AG29)-AJ29=0,"√",SUM(C29:AG29)-AJ29)</f>
        <v>√</v>
      </c>
      <c r="AN30" s="214"/>
      <c r="AO30" s="215"/>
      <c r="AP30" s="212"/>
      <c r="AQ30" s="209"/>
    </row>
    <row r="31" spans="1:43" ht="45.75" customHeight="1">
      <c r="A31" s="216" t="s">
        <v>57</v>
      </c>
      <c r="B31" s="216"/>
      <c r="C31" s="216"/>
      <c r="D31" s="216"/>
      <c r="E31" s="216"/>
      <c r="F31" s="216"/>
      <c r="G31" s="216"/>
      <c r="H31" s="216"/>
      <c r="I31" s="216"/>
      <c r="J31" s="216"/>
      <c r="K31" s="216"/>
      <c r="L31" s="216"/>
      <c r="M31" s="216"/>
      <c r="N31" s="216"/>
      <c r="O31" s="216"/>
      <c r="P31" s="216"/>
      <c r="Q31" s="216"/>
      <c r="R31" s="216"/>
      <c r="S31" s="216"/>
      <c r="T31" s="216"/>
      <c r="U31" s="216"/>
      <c r="V31" s="216"/>
      <c r="W31" s="216"/>
      <c r="X31" s="216"/>
      <c r="Y31" s="216"/>
      <c r="Z31" s="216"/>
      <c r="AA31" s="216"/>
      <c r="AB31" s="216"/>
      <c r="AC31" s="216"/>
      <c r="AD31" s="216"/>
      <c r="AE31" s="216"/>
      <c r="AF31" s="216"/>
      <c r="AG31" s="216"/>
      <c r="AH31" s="216"/>
      <c r="AI31" s="216"/>
      <c r="AJ31" s="216"/>
      <c r="AK31" s="216"/>
      <c r="AL31" s="216"/>
      <c r="AM31" s="216"/>
      <c r="AN31" s="216"/>
      <c r="AO31" s="216"/>
      <c r="AP31" s="216"/>
      <c r="AQ31" s="216"/>
    </row>
    <row r="32" spans="1:43" ht="59.25" customHeight="1">
      <c r="A32" s="207" t="s">
        <v>13</v>
      </c>
      <c r="B32" s="207"/>
      <c r="C32" s="207"/>
      <c r="D32" s="207"/>
      <c r="E32" s="207"/>
      <c r="F32" s="207"/>
      <c r="G32" s="207"/>
      <c r="H32" s="207"/>
      <c r="I32" s="207"/>
      <c r="J32" s="207"/>
      <c r="K32" s="207"/>
      <c r="L32" s="207"/>
      <c r="M32" s="207"/>
      <c r="N32" s="207"/>
      <c r="O32" s="207" t="s">
        <v>23</v>
      </c>
      <c r="P32" s="207"/>
      <c r="Q32" s="207"/>
      <c r="R32" s="207"/>
      <c r="S32" s="207"/>
      <c r="T32" s="207"/>
      <c r="U32" s="207"/>
      <c r="V32" s="207"/>
      <c r="W32" s="207"/>
      <c r="X32" s="207"/>
      <c r="Y32" s="207"/>
      <c r="Z32" s="207"/>
      <c r="AA32" s="207"/>
      <c r="AB32" s="207"/>
      <c r="AC32" s="207"/>
      <c r="AD32" s="207" t="s">
        <v>10</v>
      </c>
      <c r="AE32" s="207"/>
      <c r="AF32" s="207"/>
      <c r="AG32" s="207"/>
      <c r="AH32" s="207"/>
      <c r="AI32" s="207"/>
      <c r="AJ32" s="207"/>
      <c r="AK32" s="207"/>
      <c r="AL32" s="207"/>
      <c r="AM32" s="207"/>
      <c r="AN32" s="207"/>
      <c r="AO32" s="207"/>
      <c r="AP32" s="207"/>
      <c r="AQ32" s="207"/>
    </row>
    <row r="33" spans="1:3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</row>
  </sheetData>
  <mergeCells count="340">
    <mergeCell ref="A31:AQ31"/>
    <mergeCell ref="A32:N32"/>
    <mergeCell ref="O32:AC32"/>
    <mergeCell ref="AD32:AQ32"/>
    <mergeCell ref="AQ29:AQ30"/>
    <mergeCell ref="AL27:AL28"/>
    <mergeCell ref="AP27:AP28"/>
    <mergeCell ref="AQ27:AQ28"/>
    <mergeCell ref="AM28:AO28"/>
    <mergeCell ref="A29:A30"/>
    <mergeCell ref="B29:B30"/>
    <mergeCell ref="AD29:AD30"/>
    <mergeCell ref="AH29:AH30"/>
    <mergeCell ref="AI29:AI30"/>
    <mergeCell ref="AJ29:AJ30"/>
    <mergeCell ref="AK29:AK30"/>
    <mergeCell ref="AL29:AL30"/>
    <mergeCell ref="AP29:AP30"/>
    <mergeCell ref="AM30:AO30"/>
    <mergeCell ref="AL25:AL26"/>
    <mergeCell ref="AP25:AP26"/>
    <mergeCell ref="AQ25:AQ26"/>
    <mergeCell ref="AM26:AO26"/>
    <mergeCell ref="A27:A28"/>
    <mergeCell ref="B27:B28"/>
    <mergeCell ref="AH27:AH28"/>
    <mergeCell ref="AI27:AI28"/>
    <mergeCell ref="AJ27:AJ28"/>
    <mergeCell ref="AK27:AK28"/>
    <mergeCell ref="AF25:AF26"/>
    <mergeCell ref="AG25:AG26"/>
    <mergeCell ref="AH25:AH26"/>
    <mergeCell ref="AI25:AI26"/>
    <mergeCell ref="AJ25:AJ26"/>
    <mergeCell ref="AK25:AK26"/>
    <mergeCell ref="Z25:Z26"/>
    <mergeCell ref="AA25:AA26"/>
    <mergeCell ref="AB25:AB26"/>
    <mergeCell ref="AC25:AC26"/>
    <mergeCell ref="AD25:AD26"/>
    <mergeCell ref="AE25:AE26"/>
    <mergeCell ref="S25:S26"/>
    <mergeCell ref="T25:T26"/>
    <mergeCell ref="U25:U26"/>
    <mergeCell ref="V25:V26"/>
    <mergeCell ref="X25:X26"/>
    <mergeCell ref="Y25:Y26"/>
    <mergeCell ref="M25:M26"/>
    <mergeCell ref="N25:N26"/>
    <mergeCell ref="O25:O26"/>
    <mergeCell ref="P25:P26"/>
    <mergeCell ref="Q25:Q26"/>
    <mergeCell ref="R25:R26"/>
    <mergeCell ref="G25:G26"/>
    <mergeCell ref="H25:H26"/>
    <mergeCell ref="I25:I26"/>
    <mergeCell ref="J25:J26"/>
    <mergeCell ref="K25:K26"/>
    <mergeCell ref="L25:L26"/>
    <mergeCell ref="A25:A26"/>
    <mergeCell ref="B25:B26"/>
    <mergeCell ref="C25:C26"/>
    <mergeCell ref="D25:D26"/>
    <mergeCell ref="E25:E26"/>
    <mergeCell ref="F25:F26"/>
    <mergeCell ref="AJ23:AJ24"/>
    <mergeCell ref="AK23:AK24"/>
    <mergeCell ref="AL23:AL24"/>
    <mergeCell ref="AP23:AP24"/>
    <mergeCell ref="AQ23:AQ24"/>
    <mergeCell ref="AM24:AO24"/>
    <mergeCell ref="AD23:AD24"/>
    <mergeCell ref="AE23:AE24"/>
    <mergeCell ref="AF23:AF24"/>
    <mergeCell ref="AG23:AG24"/>
    <mergeCell ref="AH23:AH24"/>
    <mergeCell ref="AI23:AI24"/>
    <mergeCell ref="X23:X24"/>
    <mergeCell ref="Y23:Y24"/>
    <mergeCell ref="Z23:Z24"/>
    <mergeCell ref="AA23:AA24"/>
    <mergeCell ref="AB23:AB24"/>
    <mergeCell ref="AC23:AC24"/>
    <mergeCell ref="R23:R24"/>
    <mergeCell ref="S23:S24"/>
    <mergeCell ref="T23:T24"/>
    <mergeCell ref="U23:U24"/>
    <mergeCell ref="V23:V24"/>
    <mergeCell ref="W23:W24"/>
    <mergeCell ref="L23:L24"/>
    <mergeCell ref="M23:M24"/>
    <mergeCell ref="N23:N24"/>
    <mergeCell ref="O23:O24"/>
    <mergeCell ref="P23:P24"/>
    <mergeCell ref="Q23:Q24"/>
    <mergeCell ref="F23:F24"/>
    <mergeCell ref="G23:G24"/>
    <mergeCell ref="H23:H24"/>
    <mergeCell ref="I23:I24"/>
    <mergeCell ref="J23:J24"/>
    <mergeCell ref="K23:K24"/>
    <mergeCell ref="AK21:AK22"/>
    <mergeCell ref="AL21:AL22"/>
    <mergeCell ref="AP21:AP22"/>
    <mergeCell ref="AQ21:AQ22"/>
    <mergeCell ref="AM22:AO22"/>
    <mergeCell ref="A23:A24"/>
    <mergeCell ref="B23:B24"/>
    <mergeCell ref="C23:C24"/>
    <mergeCell ref="D23:D24"/>
    <mergeCell ref="E23:E24"/>
    <mergeCell ref="AE21:AE22"/>
    <mergeCell ref="AF21:AF22"/>
    <mergeCell ref="AG21:AG22"/>
    <mergeCell ref="AH21:AH22"/>
    <mergeCell ref="AI21:AI22"/>
    <mergeCell ref="AJ21:AJ22"/>
    <mergeCell ref="X21:X22"/>
    <mergeCell ref="Y21:Y22"/>
    <mergeCell ref="Z21:Z22"/>
    <mergeCell ref="AA21:AA22"/>
    <mergeCell ref="AB21:AB22"/>
    <mergeCell ref="AC21:AC22"/>
    <mergeCell ref="R21:R22"/>
    <mergeCell ref="S21:S22"/>
    <mergeCell ref="T21:T22"/>
    <mergeCell ref="U21:U22"/>
    <mergeCell ref="V21:V22"/>
    <mergeCell ref="W21:W22"/>
    <mergeCell ref="I21:I22"/>
    <mergeCell ref="J21:J22"/>
    <mergeCell ref="K21:K22"/>
    <mergeCell ref="L21:L22"/>
    <mergeCell ref="M21:M22"/>
    <mergeCell ref="N21:N22"/>
    <mergeCell ref="A21:A22"/>
    <mergeCell ref="B21:B22"/>
    <mergeCell ref="D21:D22"/>
    <mergeCell ref="F21:F22"/>
    <mergeCell ref="G21:G22"/>
    <mergeCell ref="H21:H22"/>
    <mergeCell ref="AI19:AI20"/>
    <mergeCell ref="AJ19:AJ20"/>
    <mergeCell ref="AK19:AK20"/>
    <mergeCell ref="W19:W20"/>
    <mergeCell ref="X19:X20"/>
    <mergeCell ref="Y19:Y20"/>
    <mergeCell ref="Z19:Z20"/>
    <mergeCell ref="AA19:AA20"/>
    <mergeCell ref="AB19:AB20"/>
    <mergeCell ref="P19:P20"/>
    <mergeCell ref="Q19:Q20"/>
    <mergeCell ref="R19:R20"/>
    <mergeCell ref="S19:S20"/>
    <mergeCell ref="T19:T20"/>
    <mergeCell ref="U19:U20"/>
    <mergeCell ref="H19:H20"/>
    <mergeCell ref="J19:J20"/>
    <mergeCell ref="K19:K20"/>
    <mergeCell ref="M19:M20"/>
    <mergeCell ref="N19:N20"/>
    <mergeCell ref="O19:O20"/>
    <mergeCell ref="AP17:AP18"/>
    <mergeCell ref="AQ17:AQ18"/>
    <mergeCell ref="AM18:AO18"/>
    <mergeCell ref="A19:A20"/>
    <mergeCell ref="B19:B20"/>
    <mergeCell ref="C19:C20"/>
    <mergeCell ref="D19:D20"/>
    <mergeCell ref="E19:E20"/>
    <mergeCell ref="F19:F20"/>
    <mergeCell ref="G19:G20"/>
    <mergeCell ref="AL19:AL20"/>
    <mergeCell ref="AP19:AP20"/>
    <mergeCell ref="AQ19:AQ20"/>
    <mergeCell ref="AM20:AO20"/>
    <mergeCell ref="AC19:AC20"/>
    <mergeCell ref="AD19:AD20"/>
    <mergeCell ref="AE19:AE20"/>
    <mergeCell ref="AF19:AF20"/>
    <mergeCell ref="AG19:AG20"/>
    <mergeCell ref="AH19:AH20"/>
    <mergeCell ref="AP15:AP16"/>
    <mergeCell ref="AQ15:AQ16"/>
    <mergeCell ref="AM16:AO16"/>
    <mergeCell ref="A17:A18"/>
    <mergeCell ref="B17:B18"/>
    <mergeCell ref="AH17:AH18"/>
    <mergeCell ref="AI17:AI18"/>
    <mergeCell ref="AJ17:AJ18"/>
    <mergeCell ref="AK17:AK18"/>
    <mergeCell ref="AL17:AL18"/>
    <mergeCell ref="AG15:AG16"/>
    <mergeCell ref="AH15:AH16"/>
    <mergeCell ref="AI15:AI16"/>
    <mergeCell ref="AJ15:AJ16"/>
    <mergeCell ref="AK15:AK16"/>
    <mergeCell ref="AL15:AL16"/>
    <mergeCell ref="AA15:AA16"/>
    <mergeCell ref="AB15:AB16"/>
    <mergeCell ref="AC15:AC16"/>
    <mergeCell ref="AD15:AD16"/>
    <mergeCell ref="AE15:AE16"/>
    <mergeCell ref="AF15:AF16"/>
    <mergeCell ref="U15:U16"/>
    <mergeCell ref="V15:V16"/>
    <mergeCell ref="W15:W16"/>
    <mergeCell ref="X15:X16"/>
    <mergeCell ref="Y15:Y16"/>
    <mergeCell ref="Z15:Z16"/>
    <mergeCell ref="O15:O16"/>
    <mergeCell ref="P15:P16"/>
    <mergeCell ref="Q15:Q16"/>
    <mergeCell ref="R15:R16"/>
    <mergeCell ref="S15:S16"/>
    <mergeCell ref="T15:T16"/>
    <mergeCell ref="I15:I16"/>
    <mergeCell ref="J15:J16"/>
    <mergeCell ref="K15:K16"/>
    <mergeCell ref="L15:L16"/>
    <mergeCell ref="M15:M16"/>
    <mergeCell ref="N15:N16"/>
    <mergeCell ref="AQ13:AQ14"/>
    <mergeCell ref="AM14:AO14"/>
    <mergeCell ref="A15:A16"/>
    <mergeCell ref="B15:B16"/>
    <mergeCell ref="C15:C16"/>
    <mergeCell ref="D15:D16"/>
    <mergeCell ref="E15:E16"/>
    <mergeCell ref="F15:F16"/>
    <mergeCell ref="G15:G16"/>
    <mergeCell ref="H15:H16"/>
    <mergeCell ref="AH13:AH14"/>
    <mergeCell ref="AI13:AI14"/>
    <mergeCell ref="AJ13:AJ14"/>
    <mergeCell ref="AK13:AK14"/>
    <mergeCell ref="AL13:AL14"/>
    <mergeCell ref="AP13:AP14"/>
    <mergeCell ref="V13:V14"/>
    <mergeCell ref="W13:W14"/>
    <mergeCell ref="AA13:AA14"/>
    <mergeCell ref="AB13:AB14"/>
    <mergeCell ref="AD13:AD14"/>
    <mergeCell ref="AG13:AG14"/>
    <mergeCell ref="I13:I14"/>
    <mergeCell ref="M13:M14"/>
    <mergeCell ref="N13:N14"/>
    <mergeCell ref="O13:O14"/>
    <mergeCell ref="P13:P14"/>
    <mergeCell ref="U13:U14"/>
    <mergeCell ref="AL11:AL12"/>
    <mergeCell ref="AP11:AP12"/>
    <mergeCell ref="AQ11:AQ12"/>
    <mergeCell ref="AM12:AO12"/>
    <mergeCell ref="A13:A14"/>
    <mergeCell ref="B13:B14"/>
    <mergeCell ref="E13:E14"/>
    <mergeCell ref="F13:F14"/>
    <mergeCell ref="G13:G14"/>
    <mergeCell ref="H13:H14"/>
    <mergeCell ref="AF11:AF12"/>
    <mergeCell ref="AG11:AG12"/>
    <mergeCell ref="AH11:AH12"/>
    <mergeCell ref="AI11:AI12"/>
    <mergeCell ref="AJ11:AJ12"/>
    <mergeCell ref="AK11:AK12"/>
    <mergeCell ref="Z11:Z12"/>
    <mergeCell ref="AA11:AA12"/>
    <mergeCell ref="AB11:AB12"/>
    <mergeCell ref="AC11:AC12"/>
    <mergeCell ref="AD11:AD12"/>
    <mergeCell ref="AE11:AE12"/>
    <mergeCell ref="T11:T12"/>
    <mergeCell ref="U11:U12"/>
    <mergeCell ref="V11:V12"/>
    <mergeCell ref="W11:W12"/>
    <mergeCell ref="X11:X12"/>
    <mergeCell ref="Y11:Y12"/>
    <mergeCell ref="N11:N12"/>
    <mergeCell ref="O11:O12"/>
    <mergeCell ref="P11:P12"/>
    <mergeCell ref="Q11:Q12"/>
    <mergeCell ref="R11:R12"/>
    <mergeCell ref="S11:S12"/>
    <mergeCell ref="H11:H12"/>
    <mergeCell ref="I11:I12"/>
    <mergeCell ref="J11:J12"/>
    <mergeCell ref="K11:K12"/>
    <mergeCell ref="L11:L12"/>
    <mergeCell ref="M11:M12"/>
    <mergeCell ref="A11:A12"/>
    <mergeCell ref="B11:B12"/>
    <mergeCell ref="D11:D12"/>
    <mergeCell ref="E11:E12"/>
    <mergeCell ref="F11:F12"/>
    <mergeCell ref="G11:G12"/>
    <mergeCell ref="AJ9:AJ10"/>
    <mergeCell ref="AK9:AK10"/>
    <mergeCell ref="AL9:AL10"/>
    <mergeCell ref="AP9:AP10"/>
    <mergeCell ref="AQ9:AQ10"/>
    <mergeCell ref="AM10:AO10"/>
    <mergeCell ref="AK7:AK8"/>
    <mergeCell ref="AL7:AL8"/>
    <mergeCell ref="AP7:AP8"/>
    <mergeCell ref="AQ7:AQ8"/>
    <mergeCell ref="AM8:AO8"/>
    <mergeCell ref="AJ7:AJ8"/>
    <mergeCell ref="A9:A10"/>
    <mergeCell ref="B9:B10"/>
    <mergeCell ref="G9:G10"/>
    <mergeCell ref="AH9:AH10"/>
    <mergeCell ref="AI9:AI10"/>
    <mergeCell ref="A7:A8"/>
    <mergeCell ref="B7:B8"/>
    <mergeCell ref="AG7:AG8"/>
    <mergeCell ref="AH7:AH8"/>
    <mergeCell ref="AI7:AI8"/>
    <mergeCell ref="AI5:AI6"/>
    <mergeCell ref="AJ5:AJ6"/>
    <mergeCell ref="AK5:AK6"/>
    <mergeCell ref="AL5:AL6"/>
    <mergeCell ref="AP5:AP6"/>
    <mergeCell ref="AQ5:AQ6"/>
    <mergeCell ref="AM6:AO6"/>
    <mergeCell ref="A5:A6"/>
    <mergeCell ref="B5:B6"/>
    <mergeCell ref="U5:U6"/>
    <mergeCell ref="V5:V6"/>
    <mergeCell ref="W5:W6"/>
    <mergeCell ref="AH5:AH6"/>
    <mergeCell ref="A1:AQ1"/>
    <mergeCell ref="A2:A4"/>
    <mergeCell ref="B2:B4"/>
    <mergeCell ref="C2:AG2"/>
    <mergeCell ref="AH2:AO2"/>
    <mergeCell ref="AP2:AP4"/>
    <mergeCell ref="AQ2:AQ4"/>
    <mergeCell ref="AH3:AL3"/>
    <mergeCell ref="AM3:AO3"/>
  </mergeCells>
  <phoneticPr fontId="8" type="noConversion"/>
  <conditionalFormatting sqref="C3:AG30">
    <cfRule type="expression" dxfId="9" priority="1">
      <formula>C$4="#"</formula>
    </cfRule>
    <cfRule type="expression" dxfId="8" priority="2">
      <formula>C$4="G"</formula>
    </cfRule>
    <cfRule type="expression" dxfId="7" priority="4">
      <formula>C$4="S"</formula>
    </cfRule>
    <cfRule type="expression" dxfId="6" priority="5">
      <formula>C$4="P"</formula>
    </cfRule>
  </conditionalFormatting>
  <conditionalFormatting sqref="D3:D30">
    <cfRule type="expression" dxfId="5" priority="3">
      <formula>$D$4="G"</formula>
    </cfRule>
  </conditionalFormatting>
  <pageMargins left="0.25138888888888899" right="0.25138888888888899" top="0.55486111111111103" bottom="0.55486111111111103" header="0.29861111111111099" footer="0.29861111111111099"/>
  <pageSetup paperSize="9" scale="67" fitToHeight="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586CA-8B69-4725-B7DC-468763063745}">
  <sheetPr>
    <pageSetUpPr fitToPage="1"/>
  </sheetPr>
  <dimension ref="A1:AQ33"/>
  <sheetViews>
    <sheetView tabSelected="1" zoomScaleNormal="100" workbookViewId="0">
      <pane xSplit="2" ySplit="4" topLeftCell="C5" activePane="bottomRight" state="frozen"/>
      <selection activeCell="C2" sqref="C2:AG2"/>
      <selection pane="topRight" activeCell="C2" sqref="C2:AG2"/>
      <selection pane="bottomLeft" activeCell="C2" sqref="C2:AG2"/>
      <selection pane="bottomRight" activeCell="C2" sqref="C2:AG2"/>
    </sheetView>
  </sheetViews>
  <sheetFormatPr defaultColWidth="9" defaultRowHeight="14.25"/>
  <cols>
    <col min="1" max="1" width="7" customWidth="1"/>
    <col min="2" max="2" width="9" customWidth="1"/>
    <col min="3" max="33" width="4.5" customWidth="1"/>
    <col min="34" max="38" width="4" customWidth="1"/>
    <col min="39" max="41" width="4.375" bestFit="1" customWidth="1"/>
    <col min="42" max="42" width="6.375" customWidth="1"/>
    <col min="43" max="43" width="12" customWidth="1"/>
  </cols>
  <sheetData>
    <row r="1" spans="1:43" ht="69.75" customHeight="1" thickBot="1">
      <c r="A1" s="142" t="s">
        <v>15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  <c r="AD1" s="142"/>
      <c r="AE1" s="142"/>
      <c r="AF1" s="142"/>
      <c r="AG1" s="142"/>
      <c r="AH1" s="142"/>
      <c r="AI1" s="142"/>
      <c r="AJ1" s="142"/>
      <c r="AK1" s="142"/>
      <c r="AL1" s="142"/>
      <c r="AM1" s="142"/>
      <c r="AN1" s="142"/>
      <c r="AO1" s="142"/>
      <c r="AP1" s="142"/>
      <c r="AQ1" s="142"/>
    </row>
    <row r="2" spans="1:43" ht="40.5" customHeight="1">
      <c r="A2" s="143" t="s">
        <v>0</v>
      </c>
      <c r="B2" s="145" t="s">
        <v>1</v>
      </c>
      <c r="C2" s="147" t="str">
        <f>"2026年12月出勤状况(工作日:"&amp;COUNTIF(C4:AG4, "P")&amp;"天)"</f>
        <v>2026年12月出勤状况(工作日:23天)</v>
      </c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9" t="s">
        <v>39</v>
      </c>
      <c r="AI2" s="150"/>
      <c r="AJ2" s="150"/>
      <c r="AK2" s="150"/>
      <c r="AL2" s="150"/>
      <c r="AM2" s="150"/>
      <c r="AN2" s="150"/>
      <c r="AO2" s="151"/>
      <c r="AP2" s="152" t="s">
        <v>16</v>
      </c>
      <c r="AQ2" s="155" t="s">
        <v>24</v>
      </c>
    </row>
    <row r="3" spans="1:43">
      <c r="A3" s="144"/>
      <c r="B3" s="146"/>
      <c r="C3" s="51">
        <v>1</v>
      </c>
      <c r="D3" s="51">
        <v>2</v>
      </c>
      <c r="E3" s="51">
        <v>3</v>
      </c>
      <c r="F3" s="51">
        <v>4</v>
      </c>
      <c r="G3" s="51">
        <v>5</v>
      </c>
      <c r="H3" s="51">
        <v>6</v>
      </c>
      <c r="I3" s="51">
        <v>7</v>
      </c>
      <c r="J3" s="51">
        <v>8</v>
      </c>
      <c r="K3" s="51">
        <v>9</v>
      </c>
      <c r="L3" s="51">
        <v>10</v>
      </c>
      <c r="M3" s="51">
        <v>11</v>
      </c>
      <c r="N3" s="51">
        <v>12</v>
      </c>
      <c r="O3" s="51">
        <v>13</v>
      </c>
      <c r="P3" s="51">
        <v>14</v>
      </c>
      <c r="Q3" s="51">
        <v>15</v>
      </c>
      <c r="R3" s="51">
        <v>16</v>
      </c>
      <c r="S3" s="51">
        <v>17</v>
      </c>
      <c r="T3" s="51">
        <v>18</v>
      </c>
      <c r="U3" s="51">
        <v>19</v>
      </c>
      <c r="V3" s="51">
        <v>20</v>
      </c>
      <c r="W3" s="51">
        <v>21</v>
      </c>
      <c r="X3" s="51">
        <v>22</v>
      </c>
      <c r="Y3" s="51">
        <v>23</v>
      </c>
      <c r="Z3" s="51">
        <v>24</v>
      </c>
      <c r="AA3" s="51">
        <v>25</v>
      </c>
      <c r="AB3" s="51">
        <v>26</v>
      </c>
      <c r="AC3" s="51">
        <v>27</v>
      </c>
      <c r="AD3" s="51">
        <v>28</v>
      </c>
      <c r="AE3" s="51">
        <v>29</v>
      </c>
      <c r="AF3" s="51">
        <v>30</v>
      </c>
      <c r="AG3" s="51">
        <v>31</v>
      </c>
      <c r="AH3" s="157" t="s">
        <v>43</v>
      </c>
      <c r="AI3" s="158"/>
      <c r="AJ3" s="158"/>
      <c r="AK3" s="158"/>
      <c r="AL3" s="159"/>
      <c r="AM3" s="160" t="s">
        <v>42</v>
      </c>
      <c r="AN3" s="161"/>
      <c r="AO3" s="162"/>
      <c r="AP3" s="153"/>
      <c r="AQ3" s="156"/>
    </row>
    <row r="4" spans="1:43" ht="15" thickBot="1">
      <c r="A4" s="144"/>
      <c r="B4" s="146"/>
      <c r="C4" s="133" t="s">
        <v>29</v>
      </c>
      <c r="D4" s="133" t="s">
        <v>29</v>
      </c>
      <c r="E4" s="133" t="s">
        <v>29</v>
      </c>
      <c r="F4" s="133" t="s">
        <v>29</v>
      </c>
      <c r="G4" s="133" t="s">
        <v>30</v>
      </c>
      <c r="H4" s="133" t="s">
        <v>30</v>
      </c>
      <c r="I4" s="133" t="s">
        <v>29</v>
      </c>
      <c r="J4" s="133" t="s">
        <v>29</v>
      </c>
      <c r="K4" s="133" t="s">
        <v>29</v>
      </c>
      <c r="L4" s="133" t="s">
        <v>29</v>
      </c>
      <c r="M4" s="133" t="s">
        <v>29</v>
      </c>
      <c r="N4" s="133" t="s">
        <v>30</v>
      </c>
      <c r="O4" s="133" t="s">
        <v>30</v>
      </c>
      <c r="P4" s="133" t="s">
        <v>29</v>
      </c>
      <c r="Q4" s="133" t="s">
        <v>29</v>
      </c>
      <c r="R4" s="133" t="s">
        <v>29</v>
      </c>
      <c r="S4" s="133" t="s">
        <v>29</v>
      </c>
      <c r="T4" s="133" t="s">
        <v>29</v>
      </c>
      <c r="U4" s="133" t="s">
        <v>30</v>
      </c>
      <c r="V4" s="133" t="s">
        <v>30</v>
      </c>
      <c r="W4" s="133" t="s">
        <v>29</v>
      </c>
      <c r="X4" s="133" t="s">
        <v>29</v>
      </c>
      <c r="Y4" s="133" t="s">
        <v>29</v>
      </c>
      <c r="Z4" s="133" t="s">
        <v>29</v>
      </c>
      <c r="AA4" s="133" t="s">
        <v>29</v>
      </c>
      <c r="AB4" s="133" t="s">
        <v>30</v>
      </c>
      <c r="AC4" s="133" t="s">
        <v>30</v>
      </c>
      <c r="AD4" s="133" t="s">
        <v>29</v>
      </c>
      <c r="AE4" s="133" t="s">
        <v>29</v>
      </c>
      <c r="AF4" s="133" t="s">
        <v>29</v>
      </c>
      <c r="AG4" s="133" t="s">
        <v>29</v>
      </c>
      <c r="AH4" s="141" t="s">
        <v>62</v>
      </c>
      <c r="AI4" s="138" t="s">
        <v>21</v>
      </c>
      <c r="AJ4" s="139" t="s">
        <v>22</v>
      </c>
      <c r="AK4" s="139" t="s">
        <v>60</v>
      </c>
      <c r="AL4" s="140" t="s">
        <v>63</v>
      </c>
      <c r="AM4" s="138" t="s">
        <v>64</v>
      </c>
      <c r="AN4" s="139" t="s">
        <v>65</v>
      </c>
      <c r="AO4" s="140" t="s">
        <v>66</v>
      </c>
      <c r="AP4" s="154"/>
      <c r="AQ4" s="156"/>
    </row>
    <row r="5" spans="1:43" s="1" customFormat="1" ht="15.95" customHeight="1">
      <c r="A5" s="174">
        <v>1</v>
      </c>
      <c r="B5" s="176" t="s">
        <v>2</v>
      </c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178"/>
      <c r="V5" s="178"/>
      <c r="W5" s="178"/>
      <c r="X5" s="64"/>
      <c r="Y5" s="64"/>
      <c r="Z5" s="64"/>
      <c r="AA5" s="64"/>
      <c r="AB5" s="64"/>
      <c r="AC5" s="64"/>
      <c r="AD5" s="64"/>
      <c r="AE5" s="64"/>
      <c r="AF5" s="64"/>
      <c r="AG5" s="128"/>
      <c r="AH5" s="180" cm="1">
        <f t="array" ref="AH5" xml:space="preserve"> -SUMPRODUCT((C5:AG5&lt;&gt;"年") * (C5:AG5&lt;&gt;"调") * (C5:AG5&lt;&gt;"病") * (C5:AG5&lt;&gt;"事") * C6:AG6)</f>
        <v>0</v>
      </c>
      <c r="AI5" s="163">
        <f>-(SUMIF(C5:AG5,"=年",C6:AG6))</f>
        <v>0</v>
      </c>
      <c r="AJ5" s="165">
        <f>-(SUMIF(C5:AG5,"=调",C6:AG6))</f>
        <v>0</v>
      </c>
      <c r="AK5" s="165">
        <f>-(SUMIF(C5:AG5,"=病",C6:AG6))</f>
        <v>0</v>
      </c>
      <c r="AL5" s="165">
        <f>-(SUMIF(C5:AG5,"=事",C6:AG6))</f>
        <v>0</v>
      </c>
      <c r="AM5" s="70">
        <f>SUMIF(C4:AG4,"P",C5:AG6)</f>
        <v>0</v>
      </c>
      <c r="AN5" s="67">
        <f>SUMIF(C4:AG4,"S",C5:AG6)</f>
        <v>0</v>
      </c>
      <c r="AO5" s="77">
        <f>SUMIF(C4:AG4,"G",C5:AG6)</f>
        <v>0</v>
      </c>
      <c r="AP5" s="167">
        <f>AI5+'2026-11'!AP5</f>
        <v>33.5</v>
      </c>
      <c r="AQ5" s="169"/>
    </row>
    <row r="6" spans="1:43" s="1" customFormat="1" ht="15.95" customHeight="1">
      <c r="A6" s="175"/>
      <c r="B6" s="177"/>
      <c r="C6" s="16"/>
      <c r="D6" s="16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179"/>
      <c r="V6" s="179"/>
      <c r="W6" s="179"/>
      <c r="X6" s="8"/>
      <c r="Y6" s="8"/>
      <c r="Z6" s="8"/>
      <c r="AA6" s="8"/>
      <c r="AB6" s="8"/>
      <c r="AC6" s="8"/>
      <c r="AD6" s="8"/>
      <c r="AE6" s="8"/>
      <c r="AF6" s="8"/>
      <c r="AG6" s="129"/>
      <c r="AH6" s="181"/>
      <c r="AI6" s="164"/>
      <c r="AJ6" s="166"/>
      <c r="AK6" s="166"/>
      <c r="AL6" s="166"/>
      <c r="AM6" s="171" t="str">
        <f>IF(SUM(C5:AG5)-AJ5=0,"√",SUM(C5:AG5)-AJ5)</f>
        <v>√</v>
      </c>
      <c r="AN6" s="172"/>
      <c r="AO6" s="173"/>
      <c r="AP6" s="168"/>
      <c r="AQ6" s="170"/>
    </row>
    <row r="7" spans="1:43" s="1" customFormat="1" ht="15.95" customHeight="1">
      <c r="A7" s="185">
        <v>2</v>
      </c>
      <c r="B7" s="186" t="s">
        <v>3</v>
      </c>
      <c r="C7" s="14"/>
      <c r="D7" s="14"/>
      <c r="E7" s="12"/>
      <c r="F7" s="12"/>
      <c r="G7" s="12"/>
      <c r="H7" s="12"/>
      <c r="I7" s="12"/>
      <c r="J7" s="14"/>
      <c r="K7" s="14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4"/>
      <c r="AF7" s="12"/>
      <c r="AG7" s="187"/>
      <c r="AH7" s="181" cm="1">
        <f t="array" ref="AH7" xml:space="preserve"> -SUMPRODUCT((C7:AG7&lt;&gt;"年") * (C7:AG7&lt;&gt;"调") * (C7:AG7&lt;&gt;"病") * (C7:AG7&lt;&gt;"事") * C8:AG8)</f>
        <v>0</v>
      </c>
      <c r="AI7" s="189">
        <f>-(SUMIF(C7:AG7,"=年",C8:AG8))</f>
        <v>0</v>
      </c>
      <c r="AJ7" s="193">
        <f>-(SUMIF(C7:AG7,"=调",C8:AG8))</f>
        <v>0</v>
      </c>
      <c r="AK7" s="193">
        <f>-(SUMIF(C7:AG7,"=病",C8:AG8))</f>
        <v>0</v>
      </c>
      <c r="AL7" s="193">
        <f>-(SUMIF(C7:AG7,"=事",C8:AG8))</f>
        <v>0</v>
      </c>
      <c r="AM7" s="71">
        <f>SUMIF(C4:AG4,"P",C7:AG8)</f>
        <v>0</v>
      </c>
      <c r="AN7" s="57">
        <f>SUMIF(C4:AG4,"S",C7:AG8)</f>
        <v>0</v>
      </c>
      <c r="AO7" s="78">
        <f>SUMIF(C4:AG4,"G",C7:AG8)</f>
        <v>0</v>
      </c>
      <c r="AP7" s="167">
        <f>AI7+'2026-11'!AP7</f>
        <v>68</v>
      </c>
      <c r="AQ7" s="195"/>
    </row>
    <row r="8" spans="1:43" s="1" customFormat="1" ht="15.95" customHeight="1">
      <c r="A8" s="185"/>
      <c r="B8" s="186"/>
      <c r="C8" s="38"/>
      <c r="D8" s="38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88"/>
      <c r="AH8" s="181"/>
      <c r="AI8" s="180"/>
      <c r="AJ8" s="194"/>
      <c r="AK8" s="194"/>
      <c r="AL8" s="194"/>
      <c r="AM8" s="190" t="str">
        <f>IF(SUM(C7:AG7)-AJ7=0,"√",SUM(C7:AG7)-AJ7)</f>
        <v>√</v>
      </c>
      <c r="AN8" s="191"/>
      <c r="AO8" s="192"/>
      <c r="AP8" s="168"/>
      <c r="AQ8" s="196"/>
    </row>
    <row r="9" spans="1:43" s="1" customFormat="1" ht="15.95" customHeight="1">
      <c r="A9" s="182">
        <v>3</v>
      </c>
      <c r="B9" s="183" t="s">
        <v>4</v>
      </c>
      <c r="C9" s="37"/>
      <c r="D9" s="37"/>
      <c r="E9" s="9"/>
      <c r="F9" s="9"/>
      <c r="G9" s="184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37"/>
      <c r="AF9" s="37"/>
      <c r="AG9" s="131"/>
      <c r="AH9" s="181" cm="1">
        <f t="array" ref="AH9" xml:space="preserve"> -SUMPRODUCT((C9:AG9&lt;&gt;"年") * (C9:AG9&lt;&gt;"调") * (C9:AG9&lt;&gt;"病") * (C9:AG9&lt;&gt;"事") * C10:AG10)</f>
        <v>0</v>
      </c>
      <c r="AI9" s="164">
        <f>-(SUMIF(C9:AG9,"=年",C10:AG10))</f>
        <v>0</v>
      </c>
      <c r="AJ9" s="166">
        <f>-(SUMIF(C9:AG9,"=调",C10:AG10))</f>
        <v>0</v>
      </c>
      <c r="AK9" s="166">
        <f>-(SUMIF(C9:AG9,"=病",C10:AG10))</f>
        <v>0</v>
      </c>
      <c r="AL9" s="166">
        <f>-(SUMIF(C9:AG9,"=事",C10:AG10))</f>
        <v>0</v>
      </c>
      <c r="AM9" s="72">
        <f>SUMIF(C4:AG4,"P",C9:AG10)</f>
        <v>0</v>
      </c>
      <c r="AN9" s="68">
        <f>SUMIF(C4:AG4,"S",C9:AG10)</f>
        <v>0</v>
      </c>
      <c r="AO9" s="79">
        <f>SUMIF(C4:AG4,"G",C9:AG10)</f>
        <v>0</v>
      </c>
      <c r="AP9" s="167">
        <f>AI9+'2026-11'!AP9</f>
        <v>37</v>
      </c>
      <c r="AQ9" s="170"/>
    </row>
    <row r="10" spans="1:43" s="1" customFormat="1" ht="15.95" customHeight="1">
      <c r="A10" s="175"/>
      <c r="B10" s="177"/>
      <c r="C10" s="37"/>
      <c r="D10" s="37"/>
      <c r="E10" s="9"/>
      <c r="F10" s="9"/>
      <c r="G10" s="179"/>
      <c r="H10" s="9"/>
      <c r="I10" s="9"/>
      <c r="J10" s="9"/>
      <c r="K10" s="9"/>
      <c r="L10" s="9"/>
      <c r="M10" s="9"/>
      <c r="N10" s="9"/>
      <c r="O10" s="6"/>
      <c r="P10" s="10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131"/>
      <c r="AH10" s="181"/>
      <c r="AI10" s="164"/>
      <c r="AJ10" s="166"/>
      <c r="AK10" s="166"/>
      <c r="AL10" s="166"/>
      <c r="AM10" s="190" t="str">
        <f>IF(SUM(C9:AG9)-AJ9=0,"√",SUM(C9:AG9)-AJ9)</f>
        <v>√</v>
      </c>
      <c r="AN10" s="191"/>
      <c r="AO10" s="192"/>
      <c r="AP10" s="168"/>
      <c r="AQ10" s="170"/>
    </row>
    <row r="11" spans="1:43" s="1" customFormat="1" ht="15.95" customHeight="1">
      <c r="A11" s="185">
        <v>4</v>
      </c>
      <c r="B11" s="186" t="s">
        <v>5</v>
      </c>
      <c r="C11" s="11"/>
      <c r="D11" s="197"/>
      <c r="E11" s="197"/>
      <c r="F11" s="197"/>
      <c r="G11" s="197"/>
      <c r="H11" s="197"/>
      <c r="I11" s="197"/>
      <c r="J11" s="197"/>
      <c r="K11" s="197"/>
      <c r="L11" s="197"/>
      <c r="M11" s="197"/>
      <c r="N11" s="197"/>
      <c r="O11" s="199"/>
      <c r="P11" s="199"/>
      <c r="Q11" s="197"/>
      <c r="R11" s="197"/>
      <c r="S11" s="197"/>
      <c r="T11" s="197"/>
      <c r="U11" s="197"/>
      <c r="V11" s="197"/>
      <c r="W11" s="197"/>
      <c r="X11" s="197"/>
      <c r="Y11" s="197"/>
      <c r="Z11" s="197"/>
      <c r="AA11" s="197"/>
      <c r="AB11" s="197"/>
      <c r="AC11" s="197"/>
      <c r="AD11" s="197"/>
      <c r="AE11" s="197"/>
      <c r="AF11" s="197"/>
      <c r="AG11" s="187"/>
      <c r="AH11" s="181" cm="1">
        <f t="array" ref="AH11" xml:space="preserve"> -SUMPRODUCT((C11:AG11&lt;&gt;"年") * (C11:AG11&lt;&gt;"调") * (C11:AG11&lt;&gt;"病") * (C11:AG11&lt;&gt;"事") * C12:AG12)</f>
        <v>0</v>
      </c>
      <c r="AI11" s="189">
        <f>-(SUMIF(C11:AG11,"=年",C12:AG12))</f>
        <v>0</v>
      </c>
      <c r="AJ11" s="193">
        <f>-(SUMIF(C11:AG11,"=调",C12:AG12))</f>
        <v>0</v>
      </c>
      <c r="AK11" s="193">
        <f>-(SUMIF(C11:AG11,"=病",C12:AG12))</f>
        <v>0</v>
      </c>
      <c r="AL11" s="193">
        <f>-(SUMIF(C11:AG11,"=事",C12:AG12))</f>
        <v>0</v>
      </c>
      <c r="AM11" s="71">
        <f>SUMIF(C4:AG4,"P",C11:AG12)</f>
        <v>0</v>
      </c>
      <c r="AN11" s="46">
        <f>SUMIF(C4:AG4,"S",C11:AG12)</f>
        <v>0</v>
      </c>
      <c r="AO11" s="78">
        <f>SUMIF(C4:AG4,"G",C11:AG12)</f>
        <v>0</v>
      </c>
      <c r="AP11" s="167">
        <f>AI11+'2026-11'!AP11</f>
        <v>6</v>
      </c>
      <c r="AQ11" s="195"/>
    </row>
    <row r="12" spans="1:43" s="1" customFormat="1" ht="15.95" customHeight="1">
      <c r="A12" s="185"/>
      <c r="B12" s="186"/>
      <c r="C12" s="15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79"/>
      <c r="P12" s="179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88"/>
      <c r="AH12" s="181"/>
      <c r="AI12" s="180"/>
      <c r="AJ12" s="194"/>
      <c r="AK12" s="194"/>
      <c r="AL12" s="194"/>
      <c r="AM12" s="190" t="str">
        <f>IF(SUM(C11:AG11)-AJ11=0,"√",SUM(C11:AG11)-AJ11)</f>
        <v>√</v>
      </c>
      <c r="AN12" s="191"/>
      <c r="AO12" s="200"/>
      <c r="AP12" s="168"/>
      <c r="AQ12" s="196"/>
    </row>
    <row r="13" spans="1:43" s="1" customFormat="1" ht="15.95" customHeight="1">
      <c r="A13" s="182">
        <v>5</v>
      </c>
      <c r="B13" s="183" t="s">
        <v>6</v>
      </c>
      <c r="C13" s="11"/>
      <c r="D13" s="11"/>
      <c r="E13" s="197"/>
      <c r="F13" s="197"/>
      <c r="G13" s="197"/>
      <c r="H13" s="197"/>
      <c r="I13" s="197"/>
      <c r="J13" s="11"/>
      <c r="K13" s="11"/>
      <c r="L13" s="11"/>
      <c r="M13" s="197"/>
      <c r="N13" s="197"/>
      <c r="O13" s="199"/>
      <c r="P13" s="199"/>
      <c r="Q13" s="11"/>
      <c r="R13" s="11"/>
      <c r="S13" s="11"/>
      <c r="T13" s="11"/>
      <c r="U13" s="199"/>
      <c r="V13" s="199"/>
      <c r="W13" s="199"/>
      <c r="X13" s="11"/>
      <c r="Y13" s="11"/>
      <c r="Z13" s="11"/>
      <c r="AA13" s="197"/>
      <c r="AB13" s="197"/>
      <c r="AC13" s="18"/>
      <c r="AD13" s="197"/>
      <c r="AE13" s="11"/>
      <c r="AF13" s="11"/>
      <c r="AG13" s="187"/>
      <c r="AH13" s="181" cm="1">
        <f t="array" ref="AH13" xml:space="preserve"> -SUMPRODUCT((C13:AG13&lt;&gt;"年") * (C13:AG13&lt;&gt;"调") * (C13:AG13&lt;&gt;"病") * (C13:AG13&lt;&gt;"事") * C14:AG14)</f>
        <v>0</v>
      </c>
      <c r="AI13" s="164">
        <f>-(SUMIF(C13:AG13,"=年",C14:AG14))</f>
        <v>0</v>
      </c>
      <c r="AJ13" s="166">
        <f>-(SUMIF(C13:AG13,"=调",C14:AG14))</f>
        <v>0</v>
      </c>
      <c r="AK13" s="166">
        <f>-(SUMIF(C13:AG13,"=病",C14:AG14))</f>
        <v>0</v>
      </c>
      <c r="AL13" s="166">
        <f>-(SUMIF(C13:AG13,"=事",C14:AG14))</f>
        <v>0</v>
      </c>
      <c r="AM13" s="72">
        <f>SUMIF(C4:AG4,"P",C13:AG14)</f>
        <v>0</v>
      </c>
      <c r="AN13" s="68">
        <f>SUMIF(C4:AG4,"S",C13:AG14)</f>
        <v>0</v>
      </c>
      <c r="AO13" s="79">
        <f>SUMIF(C4:AG4,"G",C13:AG14)</f>
        <v>0</v>
      </c>
      <c r="AP13" s="167">
        <f>AI13+'2026-11'!AP13</f>
        <v>21.5</v>
      </c>
      <c r="AQ13" s="201"/>
    </row>
    <row r="14" spans="1:43" s="1" customFormat="1" ht="15.95" customHeight="1">
      <c r="A14" s="175"/>
      <c r="B14" s="177"/>
      <c r="C14" s="15"/>
      <c r="D14" s="15"/>
      <c r="E14" s="198"/>
      <c r="F14" s="198"/>
      <c r="G14" s="198"/>
      <c r="H14" s="198"/>
      <c r="I14" s="198"/>
      <c r="J14" s="15"/>
      <c r="K14" s="15"/>
      <c r="L14" s="15"/>
      <c r="M14" s="198"/>
      <c r="N14" s="198"/>
      <c r="O14" s="179"/>
      <c r="P14" s="179"/>
      <c r="Q14" s="15"/>
      <c r="R14" s="15"/>
      <c r="S14" s="15"/>
      <c r="T14" s="15"/>
      <c r="U14" s="179"/>
      <c r="V14" s="179"/>
      <c r="W14" s="179"/>
      <c r="X14" s="15"/>
      <c r="Y14" s="15"/>
      <c r="Z14" s="15"/>
      <c r="AA14" s="198"/>
      <c r="AB14" s="198"/>
      <c r="AC14" s="50"/>
      <c r="AD14" s="198"/>
      <c r="AE14" s="15"/>
      <c r="AF14" s="15"/>
      <c r="AG14" s="188"/>
      <c r="AH14" s="181"/>
      <c r="AI14" s="164"/>
      <c r="AJ14" s="166"/>
      <c r="AK14" s="166"/>
      <c r="AL14" s="166"/>
      <c r="AM14" s="171" t="str">
        <f>IF(SUM(C13:AG13)-AJ13=0,"√",SUM(C13:AG13)-AJ13)</f>
        <v>√</v>
      </c>
      <c r="AN14" s="172"/>
      <c r="AO14" s="173"/>
      <c r="AP14" s="168"/>
      <c r="AQ14" s="201"/>
    </row>
    <row r="15" spans="1:43" s="1" customFormat="1" ht="15.95" customHeight="1">
      <c r="A15" s="185">
        <v>6</v>
      </c>
      <c r="B15" s="186" t="s">
        <v>7</v>
      </c>
      <c r="C15" s="197"/>
      <c r="D15" s="197"/>
      <c r="E15" s="197"/>
      <c r="F15" s="197"/>
      <c r="G15" s="197"/>
      <c r="H15" s="197"/>
      <c r="I15" s="197"/>
      <c r="J15" s="197"/>
      <c r="K15" s="197"/>
      <c r="L15" s="197"/>
      <c r="M15" s="197"/>
      <c r="N15" s="197"/>
      <c r="O15" s="199"/>
      <c r="P15" s="199"/>
      <c r="Q15" s="197"/>
      <c r="R15" s="197"/>
      <c r="S15" s="197"/>
      <c r="T15" s="197"/>
      <c r="U15" s="197"/>
      <c r="V15" s="204"/>
      <c r="W15" s="197"/>
      <c r="X15" s="197"/>
      <c r="Y15" s="197"/>
      <c r="Z15" s="197"/>
      <c r="AA15" s="197"/>
      <c r="AB15" s="197"/>
      <c r="AC15" s="197"/>
      <c r="AD15" s="197"/>
      <c r="AE15" s="197"/>
      <c r="AF15" s="197"/>
      <c r="AG15" s="187"/>
      <c r="AH15" s="181" cm="1">
        <f t="array" ref="AH15" xml:space="preserve"> -SUMPRODUCT((C15:AG15&lt;&gt;"年") * (C15:AG15&lt;&gt;"调") * (C15:AG15&lt;&gt;"病") * (C15:AG15&lt;&gt;"事") * C16:AG16)</f>
        <v>0</v>
      </c>
      <c r="AI15" s="189">
        <f>-(SUMIF(C15:AG15,"=年",C16:AG16))</f>
        <v>0</v>
      </c>
      <c r="AJ15" s="193">
        <f>-(SUMIF(C15:AG15,"=调",C16:AG16))</f>
        <v>0</v>
      </c>
      <c r="AK15" s="193">
        <f>-(SUMIF(C15:AG15,"=病",C16:AG16))</f>
        <v>0</v>
      </c>
      <c r="AL15" s="193">
        <f>-(SUMIF(C15:AG15,"=事",C16:AG16))</f>
        <v>0</v>
      </c>
      <c r="AM15" s="71">
        <f>SUMIF(C4:AG4,"P",C15:AG16)</f>
        <v>0</v>
      </c>
      <c r="AN15" s="46">
        <f>SUMIF(C4:AG4,"S",C15:AG16)</f>
        <v>0</v>
      </c>
      <c r="AO15" s="78">
        <f>SUMIF(C4:AG4,"G",C15:AG16)</f>
        <v>0</v>
      </c>
      <c r="AP15" s="167">
        <f>AI15+'2026-11'!AP15</f>
        <v>15</v>
      </c>
      <c r="AQ15" s="202"/>
    </row>
    <row r="16" spans="1:43" s="1" customFormat="1" ht="15.95" customHeight="1">
      <c r="A16" s="185"/>
      <c r="B16" s="186"/>
      <c r="C16" s="198"/>
      <c r="D16" s="198"/>
      <c r="E16" s="198"/>
      <c r="F16" s="198"/>
      <c r="G16" s="198"/>
      <c r="H16" s="198"/>
      <c r="I16" s="198"/>
      <c r="J16" s="198"/>
      <c r="K16" s="198"/>
      <c r="L16" s="198"/>
      <c r="M16" s="198"/>
      <c r="N16" s="198"/>
      <c r="O16" s="179"/>
      <c r="P16" s="179"/>
      <c r="Q16" s="198"/>
      <c r="R16" s="198"/>
      <c r="S16" s="198"/>
      <c r="T16" s="198"/>
      <c r="U16" s="198"/>
      <c r="V16" s="179"/>
      <c r="W16" s="198"/>
      <c r="X16" s="198"/>
      <c r="Y16" s="198"/>
      <c r="Z16" s="198"/>
      <c r="AA16" s="198"/>
      <c r="AB16" s="198"/>
      <c r="AC16" s="198"/>
      <c r="AD16" s="198"/>
      <c r="AE16" s="198"/>
      <c r="AF16" s="198"/>
      <c r="AG16" s="188"/>
      <c r="AH16" s="181"/>
      <c r="AI16" s="180"/>
      <c r="AJ16" s="194"/>
      <c r="AK16" s="194"/>
      <c r="AL16" s="194"/>
      <c r="AM16" s="190" t="str">
        <f>IF(SUM(C15:AG15)-AJ15=0,"√",SUM(C15:AG15)-AJ15)</f>
        <v>√</v>
      </c>
      <c r="AN16" s="191"/>
      <c r="AO16" s="200"/>
      <c r="AP16" s="168"/>
      <c r="AQ16" s="203"/>
    </row>
    <row r="17" spans="1:43" s="1" customFormat="1" ht="15.95" customHeight="1">
      <c r="A17" s="182">
        <v>7</v>
      </c>
      <c r="B17" s="183" t="s">
        <v>8</v>
      </c>
      <c r="C17" s="37"/>
      <c r="D17" s="37"/>
      <c r="E17" s="9"/>
      <c r="F17" s="9"/>
      <c r="G17" s="37"/>
      <c r="H17" s="9"/>
      <c r="I17" s="9"/>
      <c r="J17" s="9"/>
      <c r="K17" s="9"/>
      <c r="L17" s="9"/>
      <c r="M17" s="9"/>
      <c r="N17" s="9"/>
      <c r="O17" s="8"/>
      <c r="P17" s="9"/>
      <c r="Q17" s="9"/>
      <c r="R17" s="37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131"/>
      <c r="AH17" s="181" cm="1">
        <f t="array" ref="AH17" xml:space="preserve"> -SUMPRODUCT((C17:AG17&lt;&gt;"年") * (C17:AG17&lt;&gt;"调") * (C17:AG17&lt;&gt;"病") * (C17:AG17&lt;&gt;"事") * C18:AG18)</f>
        <v>0</v>
      </c>
      <c r="AI17" s="164">
        <f>-(SUMIF(C17:AG17,"=年",C18:AG18))</f>
        <v>0</v>
      </c>
      <c r="AJ17" s="166">
        <f>-(SUMIF(C17:AG17,"=调",C18:AG18))</f>
        <v>0</v>
      </c>
      <c r="AK17" s="166">
        <f>-(SUMIF(C17:AG17,"=病",C18:AG18))</f>
        <v>0</v>
      </c>
      <c r="AL17" s="166">
        <f>-(SUMIF(C17:AG17,"=事",C18:AG18))</f>
        <v>0</v>
      </c>
      <c r="AM17" s="72">
        <f>SUMIF(C4:AG4,"P",C17:AG18)</f>
        <v>0</v>
      </c>
      <c r="AN17" s="68">
        <f>SUMIF(C4:AG4,"S",C17:AG18)</f>
        <v>0</v>
      </c>
      <c r="AO17" s="79">
        <f>SUMIF(C4:AG4,"G",C17:AG18)</f>
        <v>0</v>
      </c>
      <c r="AP17" s="167">
        <f>AI17+'2026-11'!AP17</f>
        <v>33</v>
      </c>
      <c r="AQ17" s="170"/>
    </row>
    <row r="18" spans="1:43" s="1" customFormat="1" ht="15.95" customHeight="1">
      <c r="A18" s="175"/>
      <c r="B18" s="177"/>
      <c r="C18" s="37"/>
      <c r="D18" s="37"/>
      <c r="E18" s="9"/>
      <c r="F18" s="9"/>
      <c r="G18" s="9"/>
      <c r="H18" s="9"/>
      <c r="I18" s="9"/>
      <c r="J18" s="9"/>
      <c r="K18" s="9"/>
      <c r="L18" s="9"/>
      <c r="M18" s="9"/>
      <c r="N18" s="9"/>
      <c r="O18" s="6"/>
      <c r="P18" s="10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131"/>
      <c r="AH18" s="181"/>
      <c r="AI18" s="164"/>
      <c r="AJ18" s="166"/>
      <c r="AK18" s="166"/>
      <c r="AL18" s="166"/>
      <c r="AM18" s="171" t="str">
        <f>IF(SUM(C17:AG17)-AJ17=0,"√",SUM(C17:AG17)-AJ17)</f>
        <v>√</v>
      </c>
      <c r="AN18" s="172"/>
      <c r="AO18" s="173"/>
      <c r="AP18" s="168"/>
      <c r="AQ18" s="170"/>
    </row>
    <row r="19" spans="1:43" s="1" customFormat="1" ht="15.95" customHeight="1">
      <c r="A19" s="185">
        <v>8</v>
      </c>
      <c r="B19" s="186" t="s">
        <v>9</v>
      </c>
      <c r="C19" s="197"/>
      <c r="D19" s="197"/>
      <c r="E19" s="197"/>
      <c r="F19" s="197"/>
      <c r="G19" s="197"/>
      <c r="H19" s="197"/>
      <c r="I19" s="18"/>
      <c r="J19" s="197"/>
      <c r="K19" s="197"/>
      <c r="L19" s="11"/>
      <c r="M19" s="197"/>
      <c r="N19" s="197"/>
      <c r="O19" s="199"/>
      <c r="P19" s="199"/>
      <c r="Q19" s="197"/>
      <c r="R19" s="197"/>
      <c r="S19" s="197"/>
      <c r="T19" s="197"/>
      <c r="U19" s="197"/>
      <c r="V19" s="18"/>
      <c r="W19" s="197"/>
      <c r="X19" s="197"/>
      <c r="Y19" s="197"/>
      <c r="Z19" s="197"/>
      <c r="AA19" s="197"/>
      <c r="AB19" s="197"/>
      <c r="AC19" s="197"/>
      <c r="AD19" s="197"/>
      <c r="AE19" s="197"/>
      <c r="AF19" s="197"/>
      <c r="AG19" s="187"/>
      <c r="AH19" s="181" cm="1">
        <f t="array" ref="AH19" xml:space="preserve"> -SUMPRODUCT((C19:AG19&lt;&gt;"年") * (C19:AG19&lt;&gt;"调") * (C19:AG19&lt;&gt;"病") * (C19:AG19&lt;&gt;"事") * C20:AG20)</f>
        <v>0</v>
      </c>
      <c r="AI19" s="189">
        <f>-(SUMIF(C19:AG19,"=年",C20:AG20))</f>
        <v>0</v>
      </c>
      <c r="AJ19" s="193">
        <f>-(SUMIF(C19:AG19,"=调",C20:AG20))</f>
        <v>0</v>
      </c>
      <c r="AK19" s="193">
        <f>-(SUMIF(C19:AG19,"=病",C20:AG20))</f>
        <v>0</v>
      </c>
      <c r="AL19" s="193">
        <f>-(SUMIF(C19:AG19,"=事",C20:AG20))</f>
        <v>0</v>
      </c>
      <c r="AM19" s="71">
        <f>SUMIF(C4:AG4,"P",C19:AG20)</f>
        <v>0</v>
      </c>
      <c r="AN19" s="46">
        <f>SUMIF(C4:AG4,"S",C19:AG20)</f>
        <v>0</v>
      </c>
      <c r="AO19" s="78">
        <f>SUMIF(C4:AG4,"G",C19:AG20)</f>
        <v>0</v>
      </c>
      <c r="AP19" s="167">
        <f>AI19+'2026-11'!AP19</f>
        <v>42.5</v>
      </c>
      <c r="AQ19" s="205"/>
    </row>
    <row r="20" spans="1:43" s="1" customFormat="1" ht="15.95" customHeight="1">
      <c r="A20" s="185"/>
      <c r="B20" s="186"/>
      <c r="C20" s="198"/>
      <c r="D20" s="198"/>
      <c r="E20" s="198"/>
      <c r="F20" s="198"/>
      <c r="G20" s="198"/>
      <c r="H20" s="198"/>
      <c r="I20" s="50"/>
      <c r="J20" s="198"/>
      <c r="K20" s="198"/>
      <c r="L20" s="15"/>
      <c r="M20" s="198"/>
      <c r="N20" s="198"/>
      <c r="O20" s="179"/>
      <c r="P20" s="179"/>
      <c r="Q20" s="198"/>
      <c r="R20" s="198"/>
      <c r="S20" s="198"/>
      <c r="T20" s="198"/>
      <c r="U20" s="198"/>
      <c r="V20" s="50"/>
      <c r="W20" s="198"/>
      <c r="X20" s="198"/>
      <c r="Y20" s="198"/>
      <c r="Z20" s="198"/>
      <c r="AA20" s="198"/>
      <c r="AB20" s="198"/>
      <c r="AC20" s="198"/>
      <c r="AD20" s="198"/>
      <c r="AE20" s="198"/>
      <c r="AF20" s="198"/>
      <c r="AG20" s="188"/>
      <c r="AH20" s="181"/>
      <c r="AI20" s="180"/>
      <c r="AJ20" s="194"/>
      <c r="AK20" s="194"/>
      <c r="AL20" s="194"/>
      <c r="AM20" s="190" t="str">
        <f>IF(SUM(C19:AG19)-AJ19=0,"√",SUM(C19:AG19)-AJ19)</f>
        <v>√</v>
      </c>
      <c r="AN20" s="191"/>
      <c r="AO20" s="200"/>
      <c r="AP20" s="168"/>
      <c r="AQ20" s="206"/>
    </row>
    <row r="21" spans="1:43" s="1" customFormat="1" ht="15.95" customHeight="1">
      <c r="A21" s="182">
        <v>9</v>
      </c>
      <c r="B21" s="183" t="s">
        <v>11</v>
      </c>
      <c r="C21" s="18"/>
      <c r="D21" s="197"/>
      <c r="E21" s="11"/>
      <c r="F21" s="197"/>
      <c r="G21" s="197"/>
      <c r="H21" s="197"/>
      <c r="I21" s="197"/>
      <c r="J21" s="197"/>
      <c r="K21" s="197"/>
      <c r="L21" s="197"/>
      <c r="M21" s="197"/>
      <c r="N21" s="197"/>
      <c r="O21" s="54"/>
      <c r="P21" s="54"/>
      <c r="Q21" s="54"/>
      <c r="R21" s="197"/>
      <c r="S21" s="197"/>
      <c r="T21" s="197"/>
      <c r="U21" s="197"/>
      <c r="V21" s="199"/>
      <c r="W21" s="197"/>
      <c r="X21" s="197"/>
      <c r="Y21" s="197"/>
      <c r="Z21" s="197"/>
      <c r="AA21" s="197"/>
      <c r="AB21" s="197"/>
      <c r="AC21" s="197"/>
      <c r="AD21" s="18"/>
      <c r="AE21" s="197"/>
      <c r="AF21" s="197"/>
      <c r="AG21" s="187"/>
      <c r="AH21" s="181" cm="1">
        <f t="array" ref="AH21" xml:space="preserve"> -SUMPRODUCT((C21:AG21&lt;&gt;"年") * (C21:AG21&lt;&gt;"调") * (C21:AG21&lt;&gt;"病") * (C21:AG21&lt;&gt;"事") * C22:AG22)</f>
        <v>0</v>
      </c>
      <c r="AI21" s="164">
        <f>-(SUMIF(C21:AG21,"=年",C22:AG22))</f>
        <v>0</v>
      </c>
      <c r="AJ21" s="166">
        <f>-(SUMIF(C21:AG21,"=调",C22:AG22))</f>
        <v>0</v>
      </c>
      <c r="AK21" s="166">
        <f>-(SUMIF(C21:AG21,"=病",C22:AG22))</f>
        <v>0</v>
      </c>
      <c r="AL21" s="166">
        <f>-(SUMIF(C21:AG21,"=事",C22:AG22))</f>
        <v>0</v>
      </c>
      <c r="AM21" s="72">
        <f>SUMIF(C4:AG4,"P",C21:AG22)</f>
        <v>0</v>
      </c>
      <c r="AN21" s="68">
        <f>SUMIF(C4:AG4,"S",C21:AG22)</f>
        <v>0</v>
      </c>
      <c r="AO21" s="79">
        <f>SUMIF(C4:AG4,"G",C21:AG22)</f>
        <v>0</v>
      </c>
      <c r="AP21" s="167">
        <f>AI21+'2026-11'!AP21</f>
        <v>45</v>
      </c>
      <c r="AQ21" s="201"/>
    </row>
    <row r="22" spans="1:43" s="1" customFormat="1" ht="15.95" customHeight="1">
      <c r="A22" s="175"/>
      <c r="B22" s="177"/>
      <c r="C22" s="50"/>
      <c r="D22" s="198"/>
      <c r="E22" s="15"/>
      <c r="F22" s="198"/>
      <c r="G22" s="198"/>
      <c r="H22" s="198"/>
      <c r="I22" s="198"/>
      <c r="J22" s="198"/>
      <c r="K22" s="198"/>
      <c r="L22" s="198"/>
      <c r="M22" s="198"/>
      <c r="N22" s="198"/>
      <c r="O22" s="17"/>
      <c r="P22" s="17"/>
      <c r="Q22" s="17"/>
      <c r="R22" s="198"/>
      <c r="S22" s="198"/>
      <c r="T22" s="198"/>
      <c r="U22" s="198"/>
      <c r="V22" s="179"/>
      <c r="W22" s="198"/>
      <c r="X22" s="198"/>
      <c r="Y22" s="198"/>
      <c r="Z22" s="198"/>
      <c r="AA22" s="198"/>
      <c r="AB22" s="198"/>
      <c r="AC22" s="198"/>
      <c r="AD22" s="50"/>
      <c r="AE22" s="198"/>
      <c r="AF22" s="198"/>
      <c r="AG22" s="188"/>
      <c r="AH22" s="181"/>
      <c r="AI22" s="164"/>
      <c r="AJ22" s="166"/>
      <c r="AK22" s="166"/>
      <c r="AL22" s="166"/>
      <c r="AM22" s="171" t="str">
        <f>IF(SUM(C21:AG21)-AJ21=0,"√",SUM(C21:AG21)-AJ21)</f>
        <v>√</v>
      </c>
      <c r="AN22" s="172"/>
      <c r="AO22" s="173"/>
      <c r="AP22" s="168"/>
      <c r="AQ22" s="201"/>
    </row>
    <row r="23" spans="1:43" s="1" customFormat="1" ht="15.95" customHeight="1">
      <c r="A23" s="185">
        <v>10</v>
      </c>
      <c r="B23" s="186" t="s">
        <v>12</v>
      </c>
      <c r="C23" s="197"/>
      <c r="D23" s="197"/>
      <c r="E23" s="197"/>
      <c r="F23" s="197"/>
      <c r="G23" s="197"/>
      <c r="H23" s="197"/>
      <c r="I23" s="197"/>
      <c r="J23" s="197"/>
      <c r="K23" s="197"/>
      <c r="L23" s="197"/>
      <c r="M23" s="197"/>
      <c r="N23" s="197"/>
      <c r="O23" s="199"/>
      <c r="P23" s="199"/>
      <c r="Q23" s="197"/>
      <c r="R23" s="197"/>
      <c r="S23" s="197"/>
      <c r="T23" s="197"/>
      <c r="U23" s="197"/>
      <c r="V23" s="184"/>
      <c r="W23" s="184"/>
      <c r="X23" s="197"/>
      <c r="Y23" s="197"/>
      <c r="Z23" s="197"/>
      <c r="AA23" s="197"/>
      <c r="AB23" s="197"/>
      <c r="AC23" s="197"/>
      <c r="AD23" s="197"/>
      <c r="AE23" s="197"/>
      <c r="AF23" s="197"/>
      <c r="AG23" s="187"/>
      <c r="AH23" s="181" cm="1">
        <f t="array" ref="AH23" xml:space="preserve"> -SUMPRODUCT((C23:AG23&lt;&gt;"年") * (C23:AG23&lt;&gt;"调") * (C23:AG23&lt;&gt;"病") * (C23:AG23&lt;&gt;"事") * C24:AG24)</f>
        <v>0</v>
      </c>
      <c r="AI23" s="189">
        <f>-(SUMIF(C23:AG23,"=年",C24:AG24))</f>
        <v>0</v>
      </c>
      <c r="AJ23" s="193">
        <f>-(SUMIF(C23:AG23,"=调",C24:AG24))</f>
        <v>0</v>
      </c>
      <c r="AK23" s="193">
        <f>-(SUMIF(C23:AG23,"=病",C24:AG24))</f>
        <v>0</v>
      </c>
      <c r="AL23" s="193">
        <f>-(SUMIF(C23:AG23,"=事",C24:AG24))</f>
        <v>0</v>
      </c>
      <c r="AM23" s="71">
        <f>SUMIF(C4:AG4,"P",C23:AG24)</f>
        <v>0</v>
      </c>
      <c r="AN23" s="46">
        <f>SUMIF(C4:AG4,"S",C23:AG24)</f>
        <v>0</v>
      </c>
      <c r="AO23" s="78">
        <f>SUMIF(C4:AG4,"G",C23:AG24)</f>
        <v>0</v>
      </c>
      <c r="AP23" s="167">
        <f>AI23+'2026-11'!AP23</f>
        <v>49</v>
      </c>
      <c r="AQ23" s="195"/>
    </row>
    <row r="24" spans="1:43" s="1" customFormat="1" ht="15.95" customHeight="1">
      <c r="A24" s="185"/>
      <c r="B24" s="186"/>
      <c r="C24" s="198"/>
      <c r="D24" s="198"/>
      <c r="E24" s="198"/>
      <c r="F24" s="198"/>
      <c r="G24" s="198"/>
      <c r="H24" s="198"/>
      <c r="I24" s="198"/>
      <c r="J24" s="198"/>
      <c r="K24" s="198"/>
      <c r="L24" s="198"/>
      <c r="M24" s="198"/>
      <c r="N24" s="198"/>
      <c r="O24" s="179"/>
      <c r="P24" s="179"/>
      <c r="Q24" s="198"/>
      <c r="R24" s="198"/>
      <c r="S24" s="198"/>
      <c r="T24" s="198"/>
      <c r="U24" s="198"/>
      <c r="V24" s="179"/>
      <c r="W24" s="179"/>
      <c r="X24" s="198"/>
      <c r="Y24" s="198"/>
      <c r="Z24" s="198"/>
      <c r="AA24" s="198"/>
      <c r="AB24" s="198"/>
      <c r="AC24" s="198"/>
      <c r="AD24" s="198"/>
      <c r="AE24" s="198"/>
      <c r="AF24" s="198"/>
      <c r="AG24" s="188"/>
      <c r="AH24" s="181"/>
      <c r="AI24" s="180"/>
      <c r="AJ24" s="194"/>
      <c r="AK24" s="194"/>
      <c r="AL24" s="194"/>
      <c r="AM24" s="190" t="str">
        <f>IF(SUM(C23:AG23)-AJ23=0,"√",SUM(C23:AG23)-AJ23)</f>
        <v>√</v>
      </c>
      <c r="AN24" s="191"/>
      <c r="AO24" s="200"/>
      <c r="AP24" s="168"/>
      <c r="AQ24" s="196"/>
    </row>
    <row r="25" spans="1:43" s="1" customFormat="1" ht="15.95" customHeight="1">
      <c r="A25" s="185">
        <v>11</v>
      </c>
      <c r="B25" s="186" t="s">
        <v>14</v>
      </c>
      <c r="C25" s="197"/>
      <c r="D25" s="197"/>
      <c r="E25" s="197"/>
      <c r="F25" s="197"/>
      <c r="G25" s="197"/>
      <c r="H25" s="197"/>
      <c r="I25" s="197"/>
      <c r="J25" s="197"/>
      <c r="K25" s="197"/>
      <c r="L25" s="197"/>
      <c r="M25" s="197"/>
      <c r="N25" s="197"/>
      <c r="O25" s="199"/>
      <c r="P25" s="199"/>
      <c r="Q25" s="197"/>
      <c r="R25" s="197"/>
      <c r="S25" s="197"/>
      <c r="T25" s="197"/>
      <c r="U25" s="197"/>
      <c r="V25" s="199"/>
      <c r="W25" s="54"/>
      <c r="X25" s="197"/>
      <c r="Y25" s="197"/>
      <c r="Z25" s="197"/>
      <c r="AA25" s="197"/>
      <c r="AB25" s="197"/>
      <c r="AC25" s="197"/>
      <c r="AD25" s="197"/>
      <c r="AE25" s="197"/>
      <c r="AF25" s="197"/>
      <c r="AG25" s="187"/>
      <c r="AH25" s="181" cm="1">
        <f t="array" ref="AH25" xml:space="preserve"> -SUMPRODUCT((C25:AG25&lt;&gt;"年") * (C25:AG25&lt;&gt;"调") * (C25:AG25&lt;&gt;"病") * (C25:AG25&lt;&gt;"事") * C26:AG26)</f>
        <v>0</v>
      </c>
      <c r="AI25" s="189">
        <f>-(SUMIF(C25:AG25,"=年",C26:AG26))</f>
        <v>0</v>
      </c>
      <c r="AJ25" s="193">
        <f>-(SUMIF(C25:AG25,"=调",C26:AG26))</f>
        <v>0</v>
      </c>
      <c r="AK25" s="193">
        <f>-(SUMIF(C25:AG25,"=病",C26:AG26))</f>
        <v>0</v>
      </c>
      <c r="AL25" s="193">
        <f>-(SUMIF(C25:AG25,"=事",C26:AG26))</f>
        <v>0</v>
      </c>
      <c r="AM25" s="71">
        <f>SUMIF(C4:AG4,"P",C25:AG26)</f>
        <v>0</v>
      </c>
      <c r="AN25" s="46">
        <f>SUMIF(C4:AG4,"S",C25:AG26)</f>
        <v>0</v>
      </c>
      <c r="AO25" s="78">
        <f>SUMIF(C4:AG4,"G",C25:AG26)</f>
        <v>0</v>
      </c>
      <c r="AP25" s="167">
        <f>AI25+'2026-11'!AP25</f>
        <v>35</v>
      </c>
      <c r="AQ25" s="195"/>
    </row>
    <row r="26" spans="1:43" s="1" customFormat="1" ht="15.95" customHeight="1">
      <c r="A26" s="185"/>
      <c r="B26" s="186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198"/>
      <c r="O26" s="179"/>
      <c r="P26" s="179"/>
      <c r="Q26" s="198"/>
      <c r="R26" s="198"/>
      <c r="S26" s="198"/>
      <c r="T26" s="198"/>
      <c r="U26" s="198"/>
      <c r="V26" s="179"/>
      <c r="W26" s="17"/>
      <c r="X26" s="198"/>
      <c r="Y26" s="198"/>
      <c r="Z26" s="198"/>
      <c r="AA26" s="198"/>
      <c r="AB26" s="198"/>
      <c r="AC26" s="198"/>
      <c r="AD26" s="198"/>
      <c r="AE26" s="198"/>
      <c r="AF26" s="198"/>
      <c r="AG26" s="188"/>
      <c r="AH26" s="181"/>
      <c r="AI26" s="180"/>
      <c r="AJ26" s="194"/>
      <c r="AK26" s="194"/>
      <c r="AL26" s="194"/>
      <c r="AM26" s="190" t="str">
        <f>IF(SUM(C25:AG25)-AJ25=0,"√",SUM(C25:AG25)-AJ25)</f>
        <v>√</v>
      </c>
      <c r="AN26" s="191"/>
      <c r="AO26" s="200"/>
      <c r="AP26" s="168"/>
      <c r="AQ26" s="196"/>
    </row>
    <row r="27" spans="1:43" s="1" customFormat="1" ht="15.95" customHeight="1">
      <c r="A27" s="182">
        <v>12</v>
      </c>
      <c r="B27" s="183" t="s">
        <v>34</v>
      </c>
      <c r="C27" s="37"/>
      <c r="D27" s="37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37"/>
      <c r="W27" s="9"/>
      <c r="X27" s="9"/>
      <c r="Y27" s="9"/>
      <c r="Z27" s="37"/>
      <c r="AA27" s="9"/>
      <c r="AB27" s="9"/>
      <c r="AC27" s="9"/>
      <c r="AD27" s="9"/>
      <c r="AE27" s="9"/>
      <c r="AF27" s="9"/>
      <c r="AG27" s="131"/>
      <c r="AH27" s="181" cm="1">
        <f t="array" ref="AH27" xml:space="preserve"> -SUMPRODUCT((C27:AG27&lt;&gt;"年") * (C27:AG27&lt;&gt;"调") * (C27:AG27&lt;&gt;"病") * (C27:AG27&lt;&gt;"事") * C28:AG28)</f>
        <v>0</v>
      </c>
      <c r="AI27" s="164">
        <f>-(SUMIF(C27:AG27,"=年",C28:AG28))</f>
        <v>0</v>
      </c>
      <c r="AJ27" s="166">
        <f>-(SUMIF(C27:AG27,"=调",C28:AG28))</f>
        <v>0</v>
      </c>
      <c r="AK27" s="166">
        <f>-(SUMIF(C27:AG27,"=病",C28:AG28))</f>
        <v>0</v>
      </c>
      <c r="AL27" s="166">
        <f>-(SUMIF(C27:AG27,"=事",C28:AG28))</f>
        <v>0</v>
      </c>
      <c r="AM27" s="72">
        <f>SUMIF(C4:AG4,"P",C27:AG28)</f>
        <v>0</v>
      </c>
      <c r="AN27" s="68">
        <f>SUMIF(C4:AG4,"S",C27:AG28)-AJ27</f>
        <v>0</v>
      </c>
      <c r="AO27" s="79">
        <f>SUMIF(C4:AG4,"G",C27:AG28)</f>
        <v>0</v>
      </c>
      <c r="AP27" s="167">
        <f>AI27+'2026-11'!AP27</f>
        <v>66.5</v>
      </c>
      <c r="AQ27" s="217"/>
    </row>
    <row r="28" spans="1:43" s="1" customFormat="1" ht="15.95" customHeight="1">
      <c r="A28" s="175"/>
      <c r="B28" s="210"/>
      <c r="C28" s="37"/>
      <c r="D28" s="37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131"/>
      <c r="AH28" s="181"/>
      <c r="AI28" s="164"/>
      <c r="AJ28" s="166"/>
      <c r="AK28" s="166"/>
      <c r="AL28" s="166"/>
      <c r="AM28" s="171" t="str">
        <f>IF(SUM(C27:AG27)-AJ27=0,"√",SUM(C27:AG27)-AJ27)</f>
        <v>√</v>
      </c>
      <c r="AN28" s="172"/>
      <c r="AO28" s="173"/>
      <c r="AP28" s="168"/>
      <c r="AQ28" s="170"/>
    </row>
    <row r="29" spans="1:43" s="1" customFormat="1" ht="15.95" customHeight="1">
      <c r="A29" s="175">
        <v>13</v>
      </c>
      <c r="B29" s="219" t="s">
        <v>56</v>
      </c>
      <c r="C29" s="11"/>
      <c r="D29" s="11"/>
      <c r="E29" s="5"/>
      <c r="F29" s="5"/>
      <c r="G29" s="5"/>
      <c r="H29" s="5"/>
      <c r="I29" s="5"/>
      <c r="J29" s="5"/>
      <c r="K29" s="5"/>
      <c r="L29" s="5"/>
      <c r="M29" s="5"/>
      <c r="N29" s="5"/>
      <c r="O29" s="134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184"/>
      <c r="AE29" s="5"/>
      <c r="AF29" s="5"/>
      <c r="AG29" s="130"/>
      <c r="AH29" s="181" cm="1">
        <f t="array" ref="AH29" xml:space="preserve"> -SUMPRODUCT((C29:AG29&lt;&gt;"年") * (C29:AG29&lt;&gt;"调") * (C29:AG29&lt;&gt;"病") * (C29:AG29&lt;&gt;"事") * C30:AG30)</f>
        <v>0</v>
      </c>
      <c r="AI29" s="189">
        <f>-(SUMIF(C29:AG29,"=年",C30:AG30))</f>
        <v>0</v>
      </c>
      <c r="AJ29" s="193">
        <f>-(SUMIF(C29:AG29,"=调",C30:AG30))</f>
        <v>0</v>
      </c>
      <c r="AK29" s="193">
        <f>-(SUMIF(C29:AG29,"=病",C30:AG30))</f>
        <v>0</v>
      </c>
      <c r="AL29" s="193">
        <f>-(SUMIF(C29:AG29,"=事",C30:AG30))</f>
        <v>0</v>
      </c>
      <c r="AM29" s="71">
        <f>SUMIF(C4:AG4,"P",C29:AG30)</f>
        <v>0</v>
      </c>
      <c r="AN29" s="46">
        <f>SUMIF(C4:AG4,"S",C29:AG30)-AJ29</f>
        <v>0</v>
      </c>
      <c r="AO29" s="56">
        <f>SUMIF(C4:AG4,"G",C29:AG30)</f>
        <v>0</v>
      </c>
      <c r="AP29" s="168">
        <f>AI29+'2026-11'!AP29</f>
        <v>0</v>
      </c>
      <c r="AQ29" s="208"/>
    </row>
    <row r="30" spans="1:43" s="1" customFormat="1" ht="15.95" customHeight="1" thickBot="1">
      <c r="A30" s="218"/>
      <c r="B30" s="220"/>
      <c r="C30" s="39"/>
      <c r="D30" s="39"/>
      <c r="E30" s="7"/>
      <c r="F30" s="7"/>
      <c r="G30" s="7"/>
      <c r="H30" s="7"/>
      <c r="I30" s="7"/>
      <c r="J30" s="7"/>
      <c r="K30" s="7"/>
      <c r="L30" s="7"/>
      <c r="M30" s="7"/>
      <c r="N30" s="7"/>
      <c r="O30" s="135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221"/>
      <c r="AE30" s="7"/>
      <c r="AF30" s="7"/>
      <c r="AG30" s="136"/>
      <c r="AH30" s="222"/>
      <c r="AI30" s="223"/>
      <c r="AJ30" s="211"/>
      <c r="AK30" s="211"/>
      <c r="AL30" s="211"/>
      <c r="AM30" s="213" t="str">
        <f>IF(SUM(C29:AG29)-AJ29=0,"√",SUM(C29:AG29)-AJ29)</f>
        <v>√</v>
      </c>
      <c r="AN30" s="214"/>
      <c r="AO30" s="215"/>
      <c r="AP30" s="212"/>
      <c r="AQ30" s="209"/>
    </row>
    <row r="31" spans="1:43" ht="45.75" customHeight="1">
      <c r="A31" s="216" t="s">
        <v>57</v>
      </c>
      <c r="B31" s="216"/>
      <c r="C31" s="216"/>
      <c r="D31" s="216"/>
      <c r="E31" s="216"/>
      <c r="F31" s="216"/>
      <c r="G31" s="216"/>
      <c r="H31" s="216"/>
      <c r="I31" s="216"/>
      <c r="J31" s="216"/>
      <c r="K31" s="216"/>
      <c r="L31" s="216"/>
      <c r="M31" s="216"/>
      <c r="N31" s="216"/>
      <c r="O31" s="216"/>
      <c r="P31" s="216"/>
      <c r="Q31" s="216"/>
      <c r="R31" s="216"/>
      <c r="S31" s="216"/>
      <c r="T31" s="216"/>
      <c r="U31" s="216"/>
      <c r="V31" s="216"/>
      <c r="W31" s="216"/>
      <c r="X31" s="216"/>
      <c r="Y31" s="216"/>
      <c r="Z31" s="216"/>
      <c r="AA31" s="216"/>
      <c r="AB31" s="216"/>
      <c r="AC31" s="216"/>
      <c r="AD31" s="216"/>
      <c r="AE31" s="216"/>
      <c r="AF31" s="216"/>
      <c r="AG31" s="216"/>
      <c r="AH31" s="216"/>
      <c r="AI31" s="216"/>
      <c r="AJ31" s="216"/>
      <c r="AK31" s="216"/>
      <c r="AL31" s="216"/>
      <c r="AM31" s="216"/>
      <c r="AN31" s="216"/>
      <c r="AO31" s="216"/>
      <c r="AP31" s="216"/>
      <c r="AQ31" s="216"/>
    </row>
    <row r="32" spans="1:43" ht="59.25" customHeight="1">
      <c r="A32" s="207" t="s">
        <v>13</v>
      </c>
      <c r="B32" s="207"/>
      <c r="C32" s="207"/>
      <c r="D32" s="207"/>
      <c r="E32" s="207"/>
      <c r="F32" s="207"/>
      <c r="G32" s="207"/>
      <c r="H32" s="207"/>
      <c r="I32" s="207"/>
      <c r="J32" s="207"/>
      <c r="K32" s="207"/>
      <c r="L32" s="207"/>
      <c r="M32" s="207"/>
      <c r="N32" s="207"/>
      <c r="O32" s="207" t="s">
        <v>23</v>
      </c>
      <c r="P32" s="207"/>
      <c r="Q32" s="207"/>
      <c r="R32" s="207"/>
      <c r="S32" s="207"/>
      <c r="T32" s="207"/>
      <c r="U32" s="207"/>
      <c r="V32" s="207"/>
      <c r="W32" s="207"/>
      <c r="X32" s="207"/>
      <c r="Y32" s="207"/>
      <c r="Z32" s="207"/>
      <c r="AA32" s="207"/>
      <c r="AB32" s="207"/>
      <c r="AC32" s="207"/>
      <c r="AD32" s="207" t="s">
        <v>10</v>
      </c>
      <c r="AE32" s="207"/>
      <c r="AF32" s="207"/>
      <c r="AG32" s="207"/>
      <c r="AH32" s="207"/>
      <c r="AI32" s="207"/>
      <c r="AJ32" s="207"/>
      <c r="AK32" s="207"/>
      <c r="AL32" s="207"/>
      <c r="AM32" s="207"/>
      <c r="AN32" s="207"/>
      <c r="AO32" s="207"/>
      <c r="AP32" s="207"/>
      <c r="AQ32" s="207"/>
    </row>
    <row r="33" spans="1:3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</row>
  </sheetData>
  <mergeCells count="340">
    <mergeCell ref="A31:AQ31"/>
    <mergeCell ref="A32:N32"/>
    <mergeCell ref="O32:AC32"/>
    <mergeCell ref="AD32:AQ32"/>
    <mergeCell ref="AQ29:AQ30"/>
    <mergeCell ref="AL27:AL28"/>
    <mergeCell ref="AP27:AP28"/>
    <mergeCell ref="AQ27:AQ28"/>
    <mergeCell ref="AM28:AO28"/>
    <mergeCell ref="A29:A30"/>
    <mergeCell ref="B29:B30"/>
    <mergeCell ref="AD29:AD30"/>
    <mergeCell ref="AH29:AH30"/>
    <mergeCell ref="AI29:AI30"/>
    <mergeCell ref="AJ29:AJ30"/>
    <mergeCell ref="AK29:AK30"/>
    <mergeCell ref="AL29:AL30"/>
    <mergeCell ref="AP29:AP30"/>
    <mergeCell ref="AM30:AO30"/>
    <mergeCell ref="AL25:AL26"/>
    <mergeCell ref="AP25:AP26"/>
    <mergeCell ref="AQ25:AQ26"/>
    <mergeCell ref="AM26:AO26"/>
    <mergeCell ref="A27:A28"/>
    <mergeCell ref="B27:B28"/>
    <mergeCell ref="AH27:AH28"/>
    <mergeCell ref="AI27:AI28"/>
    <mergeCell ref="AJ27:AJ28"/>
    <mergeCell ref="AK27:AK28"/>
    <mergeCell ref="AF25:AF26"/>
    <mergeCell ref="AG25:AG26"/>
    <mergeCell ref="AH25:AH26"/>
    <mergeCell ref="AI25:AI26"/>
    <mergeCell ref="AJ25:AJ26"/>
    <mergeCell ref="AK25:AK26"/>
    <mergeCell ref="Z25:Z26"/>
    <mergeCell ref="AA25:AA26"/>
    <mergeCell ref="AB25:AB26"/>
    <mergeCell ref="AC25:AC26"/>
    <mergeCell ref="AD25:AD26"/>
    <mergeCell ref="AE25:AE26"/>
    <mergeCell ref="S25:S26"/>
    <mergeCell ref="T25:T26"/>
    <mergeCell ref="U25:U26"/>
    <mergeCell ref="V25:V26"/>
    <mergeCell ref="X25:X26"/>
    <mergeCell ref="Y25:Y26"/>
    <mergeCell ref="M25:M26"/>
    <mergeCell ref="N25:N26"/>
    <mergeCell ref="O25:O26"/>
    <mergeCell ref="P25:P26"/>
    <mergeCell ref="Q25:Q26"/>
    <mergeCell ref="R25:R26"/>
    <mergeCell ref="G25:G26"/>
    <mergeCell ref="H25:H26"/>
    <mergeCell ref="I25:I26"/>
    <mergeCell ref="J25:J26"/>
    <mergeCell ref="K25:K26"/>
    <mergeCell ref="L25:L26"/>
    <mergeCell ref="A25:A26"/>
    <mergeCell ref="B25:B26"/>
    <mergeCell ref="C25:C26"/>
    <mergeCell ref="D25:D26"/>
    <mergeCell ref="E25:E26"/>
    <mergeCell ref="F25:F26"/>
    <mergeCell ref="AJ23:AJ24"/>
    <mergeCell ref="AK23:AK24"/>
    <mergeCell ref="AL23:AL24"/>
    <mergeCell ref="AP23:AP24"/>
    <mergeCell ref="AQ23:AQ24"/>
    <mergeCell ref="AM24:AO24"/>
    <mergeCell ref="AD23:AD24"/>
    <mergeCell ref="AE23:AE24"/>
    <mergeCell ref="AF23:AF24"/>
    <mergeCell ref="AG23:AG24"/>
    <mergeCell ref="AH23:AH24"/>
    <mergeCell ref="AI23:AI24"/>
    <mergeCell ref="X23:X24"/>
    <mergeCell ref="Y23:Y24"/>
    <mergeCell ref="Z23:Z24"/>
    <mergeCell ref="AA23:AA24"/>
    <mergeCell ref="AB23:AB24"/>
    <mergeCell ref="AC23:AC24"/>
    <mergeCell ref="R23:R24"/>
    <mergeCell ref="S23:S24"/>
    <mergeCell ref="T23:T24"/>
    <mergeCell ref="U23:U24"/>
    <mergeCell ref="V23:V24"/>
    <mergeCell ref="W23:W24"/>
    <mergeCell ref="L23:L24"/>
    <mergeCell ref="M23:M24"/>
    <mergeCell ref="N23:N24"/>
    <mergeCell ref="O23:O24"/>
    <mergeCell ref="P23:P24"/>
    <mergeCell ref="Q23:Q24"/>
    <mergeCell ref="F23:F24"/>
    <mergeCell ref="G23:G24"/>
    <mergeCell ref="H23:H24"/>
    <mergeCell ref="I23:I24"/>
    <mergeCell ref="J23:J24"/>
    <mergeCell ref="K23:K24"/>
    <mergeCell ref="AK21:AK22"/>
    <mergeCell ref="AL21:AL22"/>
    <mergeCell ref="AP21:AP22"/>
    <mergeCell ref="AQ21:AQ22"/>
    <mergeCell ref="AM22:AO22"/>
    <mergeCell ref="A23:A24"/>
    <mergeCell ref="B23:B24"/>
    <mergeCell ref="C23:C24"/>
    <mergeCell ref="D23:D24"/>
    <mergeCell ref="E23:E24"/>
    <mergeCell ref="AE21:AE22"/>
    <mergeCell ref="AF21:AF22"/>
    <mergeCell ref="AG21:AG22"/>
    <mergeCell ref="AH21:AH22"/>
    <mergeCell ref="AI21:AI22"/>
    <mergeCell ref="AJ21:AJ22"/>
    <mergeCell ref="X21:X22"/>
    <mergeCell ref="Y21:Y22"/>
    <mergeCell ref="Z21:Z22"/>
    <mergeCell ref="AA21:AA22"/>
    <mergeCell ref="AB21:AB22"/>
    <mergeCell ref="AC21:AC22"/>
    <mergeCell ref="R21:R22"/>
    <mergeCell ref="S21:S22"/>
    <mergeCell ref="T21:T22"/>
    <mergeCell ref="U21:U22"/>
    <mergeCell ref="V21:V22"/>
    <mergeCell ref="W21:W22"/>
    <mergeCell ref="I21:I22"/>
    <mergeCell ref="J21:J22"/>
    <mergeCell ref="K21:K22"/>
    <mergeCell ref="L21:L22"/>
    <mergeCell ref="M21:M22"/>
    <mergeCell ref="N21:N22"/>
    <mergeCell ref="A21:A22"/>
    <mergeCell ref="B21:B22"/>
    <mergeCell ref="D21:D22"/>
    <mergeCell ref="F21:F22"/>
    <mergeCell ref="G21:G22"/>
    <mergeCell ref="H21:H22"/>
    <mergeCell ref="AI19:AI20"/>
    <mergeCell ref="AJ19:AJ20"/>
    <mergeCell ref="AK19:AK20"/>
    <mergeCell ref="W19:W20"/>
    <mergeCell ref="X19:X20"/>
    <mergeCell ref="Y19:Y20"/>
    <mergeCell ref="Z19:Z20"/>
    <mergeCell ref="AA19:AA20"/>
    <mergeCell ref="AB19:AB20"/>
    <mergeCell ref="P19:P20"/>
    <mergeCell ref="Q19:Q20"/>
    <mergeCell ref="R19:R20"/>
    <mergeCell ref="S19:S20"/>
    <mergeCell ref="T19:T20"/>
    <mergeCell ref="U19:U20"/>
    <mergeCell ref="H19:H20"/>
    <mergeCell ref="J19:J20"/>
    <mergeCell ref="K19:K20"/>
    <mergeCell ref="M19:M20"/>
    <mergeCell ref="N19:N20"/>
    <mergeCell ref="O19:O20"/>
    <mergeCell ref="AP17:AP18"/>
    <mergeCell ref="AQ17:AQ18"/>
    <mergeCell ref="AM18:AO18"/>
    <mergeCell ref="A19:A20"/>
    <mergeCell ref="B19:B20"/>
    <mergeCell ref="C19:C20"/>
    <mergeCell ref="D19:D20"/>
    <mergeCell ref="E19:E20"/>
    <mergeCell ref="F19:F20"/>
    <mergeCell ref="G19:G20"/>
    <mergeCell ref="AL19:AL20"/>
    <mergeCell ref="AP19:AP20"/>
    <mergeCell ref="AQ19:AQ20"/>
    <mergeCell ref="AM20:AO20"/>
    <mergeCell ref="AC19:AC20"/>
    <mergeCell ref="AD19:AD20"/>
    <mergeCell ref="AE19:AE20"/>
    <mergeCell ref="AF19:AF20"/>
    <mergeCell ref="AG19:AG20"/>
    <mergeCell ref="AH19:AH20"/>
    <mergeCell ref="AP15:AP16"/>
    <mergeCell ref="AQ15:AQ16"/>
    <mergeCell ref="AM16:AO16"/>
    <mergeCell ref="A17:A18"/>
    <mergeCell ref="B17:B18"/>
    <mergeCell ref="AH17:AH18"/>
    <mergeCell ref="AI17:AI18"/>
    <mergeCell ref="AJ17:AJ18"/>
    <mergeCell ref="AK17:AK18"/>
    <mergeCell ref="AL17:AL18"/>
    <mergeCell ref="AG15:AG16"/>
    <mergeCell ref="AH15:AH16"/>
    <mergeCell ref="AI15:AI16"/>
    <mergeCell ref="AJ15:AJ16"/>
    <mergeCell ref="AK15:AK16"/>
    <mergeCell ref="AL15:AL16"/>
    <mergeCell ref="AA15:AA16"/>
    <mergeCell ref="AB15:AB16"/>
    <mergeCell ref="AC15:AC16"/>
    <mergeCell ref="AD15:AD16"/>
    <mergeCell ref="AE15:AE16"/>
    <mergeCell ref="AF15:AF16"/>
    <mergeCell ref="U15:U16"/>
    <mergeCell ref="V15:V16"/>
    <mergeCell ref="W15:W16"/>
    <mergeCell ref="X15:X16"/>
    <mergeCell ref="Y15:Y16"/>
    <mergeCell ref="Z15:Z16"/>
    <mergeCell ref="O15:O16"/>
    <mergeCell ref="P15:P16"/>
    <mergeCell ref="Q15:Q16"/>
    <mergeCell ref="R15:R16"/>
    <mergeCell ref="S15:S16"/>
    <mergeCell ref="T15:T16"/>
    <mergeCell ref="I15:I16"/>
    <mergeCell ref="J15:J16"/>
    <mergeCell ref="K15:K16"/>
    <mergeCell ref="L15:L16"/>
    <mergeCell ref="M15:M16"/>
    <mergeCell ref="N15:N16"/>
    <mergeCell ref="AQ13:AQ14"/>
    <mergeCell ref="AM14:AO14"/>
    <mergeCell ref="A15:A16"/>
    <mergeCell ref="B15:B16"/>
    <mergeCell ref="C15:C16"/>
    <mergeCell ref="D15:D16"/>
    <mergeCell ref="E15:E16"/>
    <mergeCell ref="F15:F16"/>
    <mergeCell ref="G15:G16"/>
    <mergeCell ref="H15:H16"/>
    <mergeCell ref="AH13:AH14"/>
    <mergeCell ref="AI13:AI14"/>
    <mergeCell ref="AJ13:AJ14"/>
    <mergeCell ref="AK13:AK14"/>
    <mergeCell ref="AL13:AL14"/>
    <mergeCell ref="AP13:AP14"/>
    <mergeCell ref="V13:V14"/>
    <mergeCell ref="W13:W14"/>
    <mergeCell ref="AA13:AA14"/>
    <mergeCell ref="AB13:AB14"/>
    <mergeCell ref="AD13:AD14"/>
    <mergeCell ref="AG13:AG14"/>
    <mergeCell ref="I13:I14"/>
    <mergeCell ref="M13:M14"/>
    <mergeCell ref="N13:N14"/>
    <mergeCell ref="O13:O14"/>
    <mergeCell ref="P13:P14"/>
    <mergeCell ref="U13:U14"/>
    <mergeCell ref="AL11:AL12"/>
    <mergeCell ref="AP11:AP12"/>
    <mergeCell ref="AQ11:AQ12"/>
    <mergeCell ref="AM12:AO12"/>
    <mergeCell ref="A13:A14"/>
    <mergeCell ref="B13:B14"/>
    <mergeCell ref="E13:E14"/>
    <mergeCell ref="F13:F14"/>
    <mergeCell ref="G13:G14"/>
    <mergeCell ref="H13:H14"/>
    <mergeCell ref="AF11:AF12"/>
    <mergeCell ref="AG11:AG12"/>
    <mergeCell ref="AH11:AH12"/>
    <mergeCell ref="AI11:AI12"/>
    <mergeCell ref="AJ11:AJ12"/>
    <mergeCell ref="AK11:AK12"/>
    <mergeCell ref="Z11:Z12"/>
    <mergeCell ref="AA11:AA12"/>
    <mergeCell ref="AB11:AB12"/>
    <mergeCell ref="AC11:AC12"/>
    <mergeCell ref="AD11:AD12"/>
    <mergeCell ref="AE11:AE12"/>
    <mergeCell ref="T11:T12"/>
    <mergeCell ref="U11:U12"/>
    <mergeCell ref="V11:V12"/>
    <mergeCell ref="W11:W12"/>
    <mergeCell ref="X11:X12"/>
    <mergeCell ref="Y11:Y12"/>
    <mergeCell ref="N11:N12"/>
    <mergeCell ref="O11:O12"/>
    <mergeCell ref="P11:P12"/>
    <mergeCell ref="Q11:Q12"/>
    <mergeCell ref="R11:R12"/>
    <mergeCell ref="S11:S12"/>
    <mergeCell ref="H11:H12"/>
    <mergeCell ref="I11:I12"/>
    <mergeCell ref="J11:J12"/>
    <mergeCell ref="K11:K12"/>
    <mergeCell ref="L11:L12"/>
    <mergeCell ref="M11:M12"/>
    <mergeCell ref="A11:A12"/>
    <mergeCell ref="B11:B12"/>
    <mergeCell ref="D11:D12"/>
    <mergeCell ref="E11:E12"/>
    <mergeCell ref="F11:F12"/>
    <mergeCell ref="G11:G12"/>
    <mergeCell ref="AJ9:AJ10"/>
    <mergeCell ref="AK9:AK10"/>
    <mergeCell ref="AL9:AL10"/>
    <mergeCell ref="AP9:AP10"/>
    <mergeCell ref="AQ9:AQ10"/>
    <mergeCell ref="AM10:AO10"/>
    <mergeCell ref="AK7:AK8"/>
    <mergeCell ref="AL7:AL8"/>
    <mergeCell ref="AP7:AP8"/>
    <mergeCell ref="AQ7:AQ8"/>
    <mergeCell ref="AM8:AO8"/>
    <mergeCell ref="AJ7:AJ8"/>
    <mergeCell ref="A9:A10"/>
    <mergeCell ref="B9:B10"/>
    <mergeCell ref="G9:G10"/>
    <mergeCell ref="AH9:AH10"/>
    <mergeCell ref="AI9:AI10"/>
    <mergeCell ref="A7:A8"/>
    <mergeCell ref="B7:B8"/>
    <mergeCell ref="AG7:AG8"/>
    <mergeCell ref="AH7:AH8"/>
    <mergeCell ref="AI7:AI8"/>
    <mergeCell ref="AI5:AI6"/>
    <mergeCell ref="AJ5:AJ6"/>
    <mergeCell ref="AK5:AK6"/>
    <mergeCell ref="AL5:AL6"/>
    <mergeCell ref="AP5:AP6"/>
    <mergeCell ref="AQ5:AQ6"/>
    <mergeCell ref="AM6:AO6"/>
    <mergeCell ref="A5:A6"/>
    <mergeCell ref="B5:B6"/>
    <mergeCell ref="U5:U6"/>
    <mergeCell ref="V5:V6"/>
    <mergeCell ref="W5:W6"/>
    <mergeCell ref="AH5:AH6"/>
    <mergeCell ref="A1:AQ1"/>
    <mergeCell ref="A2:A4"/>
    <mergeCell ref="B2:B4"/>
    <mergeCell ref="C2:AG2"/>
    <mergeCell ref="AH2:AO2"/>
    <mergeCell ref="AP2:AP4"/>
    <mergeCell ref="AQ2:AQ4"/>
    <mergeCell ref="AH3:AL3"/>
    <mergeCell ref="AM3:AO3"/>
  </mergeCells>
  <phoneticPr fontId="8" type="noConversion"/>
  <conditionalFormatting sqref="C3:AG30">
    <cfRule type="expression" dxfId="4" priority="1">
      <formula>C$4="#"</formula>
    </cfRule>
    <cfRule type="expression" dxfId="3" priority="2">
      <formula>C$4="G"</formula>
    </cfRule>
    <cfRule type="expression" dxfId="2" priority="4">
      <formula>C$4="S"</formula>
    </cfRule>
    <cfRule type="expression" dxfId="1" priority="5">
      <formula>C$4="P"</formula>
    </cfRule>
  </conditionalFormatting>
  <conditionalFormatting sqref="D3:D30">
    <cfRule type="expression" dxfId="0" priority="3">
      <formula>$D$4="G"</formula>
    </cfRule>
  </conditionalFormatting>
  <pageMargins left="0.25138888888888899" right="0.25138888888888899" top="0.55486111111111103" bottom="0.55486111111111103" header="0.29861111111111099" footer="0.29861111111111099"/>
  <pageSetup paperSize="9" scale="67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2026-01</vt:lpstr>
      <vt:lpstr>2026-02</vt:lpstr>
      <vt:lpstr>2026-03</vt:lpstr>
      <vt:lpstr>2026-04</vt:lpstr>
      <vt:lpstr>2026-05</vt:lpstr>
      <vt:lpstr>2026-06</vt:lpstr>
      <vt:lpstr>2026-07</vt:lpstr>
      <vt:lpstr>2026-08</vt:lpstr>
      <vt:lpstr>2026-09</vt:lpstr>
      <vt:lpstr>2026-10</vt:lpstr>
      <vt:lpstr>2026-11</vt:lpstr>
      <vt:lpstr>2026-12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Gu</dc:creator>
  <cp:lastModifiedBy>Administrator</cp:lastModifiedBy>
  <cp:lastPrinted>2026-08-31T03:33:32Z</cp:lastPrinted>
  <dcterms:created xsi:type="dcterms:W3CDTF">2022-01-27T01:43:00Z</dcterms:created>
  <dcterms:modified xsi:type="dcterms:W3CDTF">2026-09-12T11:26:22Z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95CCF0AA6D75433CA78F5A52FCF5E876</vt:lpwstr>
  </property>
  <property fmtid="{D5CDD505-2E9C-101B-9397-08002B2CF9AE}" pid="3" name="KSOProductBuildVer">
    <vt:lpwstr>2052-11.1.0.12970</vt:lpwstr>
  </property>
</Properties>
</file>